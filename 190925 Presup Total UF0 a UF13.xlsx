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utopistamagdalenamedio-my.sharepoint.com/personal/epc_coordiseno_autopistamagdalenamedio_com_co/Documents/PRESENTACIÓN JUNTA/2025/02- SEPTIEMBRE/"/>
    </mc:Choice>
  </mc:AlternateContent>
  <xr:revisionPtr revIDLastSave="9" documentId="13_ncr:1_{C01B967E-53A5-4C4C-BC66-4E4B0C2D8304}" xr6:coauthVersionLast="47" xr6:coauthVersionMax="47" xr10:uidLastSave="{AEB07007-21EF-4416-8719-4DE81C694081}"/>
  <bookViews>
    <workbookView xWindow="-120" yWindow="-120" windowWidth="29040" windowHeight="15720" activeTab="1" xr2:uid="{3C2DD418-ECDB-445C-BB33-12A1D1D6BCDB}"/>
  </bookViews>
  <sheets>
    <sheet name="RESUMEN PROYECTO" sheetId="19" r:id="rId1"/>
    <sheet name="RESUMEN COMPONENTES" sheetId="13" r:id="rId2"/>
    <sheet name="UBICACIÓN EQUIPOS ITS v3" sheetId="18" r:id="rId3"/>
    <sheet name="UUFF" sheetId="17" r:id="rId4"/>
    <sheet name="Postes SOS" sheetId="1" r:id="rId5"/>
    <sheet name="ESTACIÓN METEOROLOGICA" sheetId="2" r:id="rId6"/>
    <sheet name="PMV" sheetId="3" r:id="rId7"/>
    <sheet name="GALIBO" sheetId="4" r:id="rId8"/>
    <sheet name="ETD" sheetId="5" r:id="rId9"/>
    <sheet name="CCTV" sheetId="6" r:id="rId10"/>
    <sheet name="FO COMUNICACION" sheetId="7" r:id="rId11"/>
    <sheet name="PEAJE" sheetId="8" r:id="rId12"/>
    <sheet name="BásculaS Sur y Norte" sheetId="9" r:id="rId13"/>
    <sheet name="RADIO COMUNICACIONES" sheetId="10" r:id="rId14"/>
    <sheet name="CCO" sheetId="11" r:id="rId15"/>
    <sheet name="Control de accesos en Peaje" sheetId="15" r:id="rId16"/>
    <sheet name="Paso elevado FO" sheetId="12" r:id="rId17"/>
    <sheet name="Basculas Dinamicas en peaje" sheetId="16" r:id="rId18"/>
  </sheets>
  <definedNames>
    <definedName name="_xlnm._FilterDatabase" localSheetId="2" hidden="1">'UBICACIÓN EQUIPOS ITS v3'!$B$3:$H$174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19" l="1"/>
  <c r="E26" i="19"/>
  <c r="F26" i="19"/>
  <c r="G26" i="19"/>
  <c r="H26" i="19"/>
  <c r="D26" i="19"/>
  <c r="D24" i="19"/>
  <c r="E24" i="19" s="1"/>
  <c r="D23" i="19"/>
  <c r="F23" i="19" s="1"/>
  <c r="D22" i="19"/>
  <c r="E22" i="19" s="1"/>
  <c r="D21" i="19"/>
  <c r="E21" i="19" s="1"/>
  <c r="AI17" i="17"/>
  <c r="D8" i="19"/>
  <c r="G8" i="19" s="1"/>
  <c r="H8" i="19" s="1"/>
  <c r="D7" i="19"/>
  <c r="G7" i="19" s="1"/>
  <c r="H7" i="19" s="1"/>
  <c r="E7" i="19"/>
  <c r="G19" i="19"/>
  <c r="H19" i="19" s="1"/>
  <c r="F13" i="19"/>
  <c r="F14" i="19"/>
  <c r="E10" i="19"/>
  <c r="E13" i="19"/>
  <c r="E14" i="19"/>
  <c r="I14" i="19" s="1"/>
  <c r="D20" i="19"/>
  <c r="D19" i="19"/>
  <c r="D18" i="19"/>
  <c r="D17" i="19"/>
  <c r="D16" i="19"/>
  <c r="D15" i="19"/>
  <c r="E15" i="19" s="1"/>
  <c r="D14" i="19"/>
  <c r="G14" i="19" s="1"/>
  <c r="H14" i="19" s="1"/>
  <c r="D13" i="19"/>
  <c r="G13" i="19" s="1"/>
  <c r="D12" i="19"/>
  <c r="E12" i="19" s="1"/>
  <c r="D11" i="19"/>
  <c r="E11" i="19" s="1"/>
  <c r="D10" i="19"/>
  <c r="F10" i="19" s="1"/>
  <c r="D9" i="19"/>
  <c r="F9" i="19" s="1"/>
  <c r="N9" i="18"/>
  <c r="O3" i="18"/>
  <c r="O4" i="18"/>
  <c r="O5" i="18"/>
  <c r="O6" i="18"/>
  <c r="O7" i="18"/>
  <c r="O8" i="18"/>
  <c r="G11" i="18"/>
  <c r="G12" i="18"/>
  <c r="G13" i="18"/>
  <c r="G14" i="18"/>
  <c r="G17" i="18"/>
  <c r="H18" i="18"/>
  <c r="G19" i="18"/>
  <c r="I20" i="18"/>
  <c r="G21" i="18"/>
  <c r="G22" i="18"/>
  <c r="G23" i="18"/>
  <c r="G25" i="18"/>
  <c r="G26" i="18"/>
  <c r="G27" i="18"/>
  <c r="H28" i="18"/>
  <c r="G29" i="18"/>
  <c r="I30" i="18"/>
  <c r="G32" i="18"/>
  <c r="G34" i="18"/>
  <c r="G36" i="18"/>
  <c r="G38" i="18"/>
  <c r="G40" i="18"/>
  <c r="G42" i="18"/>
  <c r="H44" i="18"/>
  <c r="G45" i="18"/>
  <c r="I46" i="18"/>
  <c r="G47" i="18"/>
  <c r="G48" i="18"/>
  <c r="G50" i="18"/>
  <c r="G51" i="18"/>
  <c r="G52" i="18"/>
  <c r="G53" i="18"/>
  <c r="G57" i="18"/>
  <c r="H58" i="18"/>
  <c r="I59" i="18"/>
  <c r="G60" i="18"/>
  <c r="G61" i="18"/>
  <c r="G62" i="18"/>
  <c r="G63" i="18"/>
  <c r="G64" i="18"/>
  <c r="G65" i="18"/>
  <c r="H66" i="18"/>
  <c r="G67" i="18"/>
  <c r="I69" i="18"/>
  <c r="G70" i="18"/>
  <c r="G74" i="18"/>
  <c r="G76" i="18"/>
  <c r="H77" i="18"/>
  <c r="G79" i="18"/>
  <c r="G81" i="18"/>
  <c r="G82" i="18"/>
  <c r="I83" i="18"/>
  <c r="G84" i="18"/>
  <c r="G85" i="18"/>
  <c r="G86" i="18"/>
  <c r="G87" i="18"/>
  <c r="H88" i="18"/>
  <c r="G89" i="18"/>
  <c r="G91" i="18"/>
  <c r="G94" i="18"/>
  <c r="I95" i="18"/>
  <c r="G96" i="18"/>
  <c r="G98" i="18"/>
  <c r="G99" i="18"/>
  <c r="G100" i="18"/>
  <c r="H101" i="18"/>
  <c r="G102" i="18"/>
  <c r="G103" i="18"/>
  <c r="I104" i="18"/>
  <c r="G107" i="18"/>
  <c r="G109" i="18"/>
  <c r="G111" i="18"/>
  <c r="G113" i="18"/>
  <c r="G115" i="18"/>
  <c r="H116" i="18"/>
  <c r="G117" i="18"/>
  <c r="I118" i="18"/>
  <c r="G119" i="18"/>
  <c r="G124" i="18"/>
  <c r="H125" i="18"/>
  <c r="G126" i="18"/>
  <c r="G127" i="18"/>
  <c r="G128" i="18"/>
  <c r="G129" i="18"/>
  <c r="I131" i="18"/>
  <c r="G132" i="18"/>
  <c r="G133" i="18"/>
  <c r="G135" i="18"/>
  <c r="G136" i="18"/>
  <c r="H137" i="18"/>
  <c r="G138" i="18"/>
  <c r="G139" i="18"/>
  <c r="G142" i="18"/>
  <c r="I144" i="18"/>
  <c r="G145" i="18"/>
  <c r="G146" i="18"/>
  <c r="G147" i="18"/>
  <c r="H148" i="18"/>
  <c r="G150" i="18"/>
  <c r="G152" i="18"/>
  <c r="G153" i="18"/>
  <c r="G154" i="18"/>
  <c r="I155" i="18"/>
  <c r="G156" i="18"/>
  <c r="G157" i="18"/>
  <c r="G160" i="18"/>
  <c r="H161" i="18"/>
  <c r="G162" i="18"/>
  <c r="G164" i="18"/>
  <c r="G165" i="18"/>
  <c r="I170" i="18"/>
  <c r="G172" i="18"/>
  <c r="G173" i="18"/>
  <c r="AK10" i="17"/>
  <c r="D10" i="17"/>
  <c r="P10" i="17" s="1"/>
  <c r="AE10" i="17"/>
  <c r="AC10" i="17"/>
  <c r="Y10" i="17"/>
  <c r="W10" i="17"/>
  <c r="U10" i="17"/>
  <c r="S10" i="17"/>
  <c r="AG10" i="17" s="1"/>
  <c r="Q10" i="17"/>
  <c r="L10" i="17"/>
  <c r="J10" i="17"/>
  <c r="N10" i="17"/>
  <c r="H10" i="17"/>
  <c r="F10" i="17"/>
  <c r="AI12" i="17"/>
  <c r="AI13" i="17"/>
  <c r="AI14" i="17"/>
  <c r="AI15" i="17"/>
  <c r="AK15" i="17"/>
  <c r="AK14" i="17"/>
  <c r="AK13" i="17"/>
  <c r="AK12" i="17"/>
  <c r="AK11" i="17"/>
  <c r="AK9" i="17"/>
  <c r="Z9" i="17" s="1"/>
  <c r="AK8" i="17"/>
  <c r="Z8" i="17" s="1"/>
  <c r="AK7" i="17"/>
  <c r="R7" i="17" s="1"/>
  <c r="AK5" i="17"/>
  <c r="AB5" i="17" s="1"/>
  <c r="AK4" i="17"/>
  <c r="Z4" i="17" s="1"/>
  <c r="AH14" i="17"/>
  <c r="AH13" i="17"/>
  <c r="AH11" i="17"/>
  <c r="AI11" i="17" s="1"/>
  <c r="AG9" i="17"/>
  <c r="P9" i="17"/>
  <c r="AG8" i="17"/>
  <c r="P8" i="17"/>
  <c r="AG7" i="17"/>
  <c r="P7" i="17"/>
  <c r="AG6" i="17"/>
  <c r="P6" i="17"/>
  <c r="AG5" i="17"/>
  <c r="P5" i="17"/>
  <c r="AG4" i="17"/>
  <c r="P4" i="17"/>
  <c r="I26" i="7"/>
  <c r="J26" i="7" s="1"/>
  <c r="G26" i="7"/>
  <c r="B26" i="7"/>
  <c r="B27" i="7" s="1"/>
  <c r="I10" i="3"/>
  <c r="I11" i="3"/>
  <c r="G10" i="3"/>
  <c r="G11" i="3"/>
  <c r="G12" i="3"/>
  <c r="F7" i="19" l="1"/>
  <c r="F12" i="19"/>
  <c r="F21" i="19"/>
  <c r="I21" i="19" s="1"/>
  <c r="G24" i="19"/>
  <c r="H24" i="19" s="1"/>
  <c r="G12" i="19"/>
  <c r="H12" i="19" s="1"/>
  <c r="F24" i="19"/>
  <c r="I12" i="19"/>
  <c r="G11" i="19"/>
  <c r="H11" i="19" s="1"/>
  <c r="E8" i="19"/>
  <c r="F8" i="19"/>
  <c r="I8" i="19" s="1"/>
  <c r="G21" i="19"/>
  <c r="H21" i="19" s="1"/>
  <c r="E23" i="19"/>
  <c r="H13" i="19"/>
  <c r="I13" i="19"/>
  <c r="I19" i="19"/>
  <c r="G20" i="19"/>
  <c r="H20" i="19" s="1"/>
  <c r="G17" i="19"/>
  <c r="H17" i="19" s="1"/>
  <c r="E20" i="19"/>
  <c r="F18" i="19"/>
  <c r="G16" i="19"/>
  <c r="H16" i="19" s="1"/>
  <c r="E19" i="19"/>
  <c r="E18" i="19"/>
  <c r="F16" i="19"/>
  <c r="I24" i="19"/>
  <c r="F20" i="19"/>
  <c r="G18" i="19"/>
  <c r="H18" i="19" s="1"/>
  <c r="F19" i="19"/>
  <c r="I9" i="19"/>
  <c r="F17" i="19"/>
  <c r="G15" i="19"/>
  <c r="H15" i="19" s="1"/>
  <c r="E17" i="19"/>
  <c r="I17" i="19" s="1"/>
  <c r="F15" i="19"/>
  <c r="G23" i="19"/>
  <c r="H23" i="19" s="1"/>
  <c r="G22" i="19"/>
  <c r="H22" i="19" s="1"/>
  <c r="G10" i="19"/>
  <c r="H10" i="19" s="1"/>
  <c r="G9" i="19"/>
  <c r="H9" i="19" s="1"/>
  <c r="F22" i="19"/>
  <c r="E9" i="19"/>
  <c r="E16" i="19"/>
  <c r="I16" i="19" s="1"/>
  <c r="F11" i="19"/>
  <c r="I11" i="19" s="1"/>
  <c r="I7" i="19"/>
  <c r="O9" i="18"/>
  <c r="AH10" i="17"/>
  <c r="AH4" i="17"/>
  <c r="AI4" i="17" s="1"/>
  <c r="R9" i="17"/>
  <c r="E9" i="17"/>
  <c r="G9" i="17"/>
  <c r="V9" i="17"/>
  <c r="I9" i="17"/>
  <c r="AB9" i="17"/>
  <c r="K9" i="17"/>
  <c r="O9" i="17"/>
  <c r="T9" i="17"/>
  <c r="AD9" i="17"/>
  <c r="M9" i="17"/>
  <c r="M7" i="17"/>
  <c r="O7" i="17"/>
  <c r="AD7" i="17"/>
  <c r="AF7" i="17"/>
  <c r="E7" i="17"/>
  <c r="T7" i="17"/>
  <c r="G7" i="17"/>
  <c r="V7" i="17"/>
  <c r="I7" i="17"/>
  <c r="X7" i="17"/>
  <c r="K7" i="17"/>
  <c r="Z7" i="17"/>
  <c r="AB7" i="17"/>
  <c r="R5" i="17"/>
  <c r="V5" i="17"/>
  <c r="X5" i="17"/>
  <c r="O5" i="17"/>
  <c r="AF5" i="17"/>
  <c r="T5" i="17"/>
  <c r="I5" i="17"/>
  <c r="K5" i="17"/>
  <c r="Z5" i="17"/>
  <c r="AD5" i="17"/>
  <c r="E5" i="17"/>
  <c r="G5" i="17"/>
  <c r="M5" i="17"/>
  <c r="AF9" i="17"/>
  <c r="X9" i="17"/>
  <c r="AB8" i="17"/>
  <c r="O8" i="17"/>
  <c r="AD8" i="17"/>
  <c r="AF8" i="17"/>
  <c r="T8" i="17"/>
  <c r="M8" i="17"/>
  <c r="R8" i="17"/>
  <c r="G8" i="17"/>
  <c r="V8" i="17"/>
  <c r="E8" i="17"/>
  <c r="I8" i="17"/>
  <c r="X8" i="17"/>
  <c r="K8" i="17"/>
  <c r="M4" i="17"/>
  <c r="AD4" i="17"/>
  <c r="AF4" i="17"/>
  <c r="AB4" i="17"/>
  <c r="R4" i="17"/>
  <c r="E4" i="17"/>
  <c r="T4" i="17"/>
  <c r="G4" i="17"/>
  <c r="V4" i="17"/>
  <c r="I4" i="17"/>
  <c r="X4" i="17"/>
  <c r="O4" i="17"/>
  <c r="K4" i="17"/>
  <c r="AH7" i="17"/>
  <c r="AI7" i="17" s="1"/>
  <c r="AH5" i="17"/>
  <c r="AI5" i="17" s="1"/>
  <c r="AH6" i="17"/>
  <c r="AH8" i="17"/>
  <c r="AI8" i="17" s="1"/>
  <c r="AH9" i="17"/>
  <c r="AI9" i="17" s="1"/>
  <c r="G30" i="7"/>
  <c r="G31" i="7"/>
  <c r="J31" i="7" s="1"/>
  <c r="I31" i="7"/>
  <c r="H14" i="7"/>
  <c r="I14" i="7" s="1"/>
  <c r="G14" i="7"/>
  <c r="I16" i="7"/>
  <c r="I17" i="7"/>
  <c r="I18" i="7"/>
  <c r="I19" i="7"/>
  <c r="I20" i="7"/>
  <c r="I21" i="7"/>
  <c r="I22" i="7"/>
  <c r="I23" i="7"/>
  <c r="I24" i="7"/>
  <c r="I11" i="12"/>
  <c r="I12" i="12"/>
  <c r="I13" i="12"/>
  <c r="I14" i="12"/>
  <c r="I15" i="12"/>
  <c r="G11" i="12"/>
  <c r="J11" i="12" s="1"/>
  <c r="G12" i="12"/>
  <c r="J12" i="12" s="1"/>
  <c r="G13" i="12"/>
  <c r="G14" i="12"/>
  <c r="G15" i="12"/>
  <c r="J15" i="12" s="1"/>
  <c r="J11" i="15"/>
  <c r="J12" i="15"/>
  <c r="J15" i="15"/>
  <c r="J16" i="15"/>
  <c r="J19" i="15"/>
  <c r="J20" i="15"/>
  <c r="J23" i="15"/>
  <c r="J24" i="15"/>
  <c r="I11" i="15"/>
  <c r="I12" i="15"/>
  <c r="I13" i="15"/>
  <c r="I14" i="15"/>
  <c r="I15" i="15"/>
  <c r="I16" i="15"/>
  <c r="I17" i="15"/>
  <c r="I18" i="15"/>
  <c r="I19" i="15"/>
  <c r="I20" i="15"/>
  <c r="I21" i="15"/>
  <c r="I22" i="15"/>
  <c r="I23" i="15"/>
  <c r="I24" i="15"/>
  <c r="I25" i="15"/>
  <c r="G11" i="15"/>
  <c r="G12" i="15"/>
  <c r="G13" i="15"/>
  <c r="J13" i="15" s="1"/>
  <c r="G14" i="15"/>
  <c r="J14" i="15" s="1"/>
  <c r="G15" i="15"/>
  <c r="G16" i="15"/>
  <c r="G17" i="15"/>
  <c r="J17" i="15" s="1"/>
  <c r="G18" i="15"/>
  <c r="J18" i="15" s="1"/>
  <c r="G19" i="15"/>
  <c r="G20" i="15"/>
  <c r="G21" i="15"/>
  <c r="J21" i="15" s="1"/>
  <c r="G22" i="15"/>
  <c r="J22" i="15" s="1"/>
  <c r="G23" i="15"/>
  <c r="G24" i="15"/>
  <c r="G25" i="15"/>
  <c r="J25" i="15" s="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9" i="11"/>
  <c r="I87" i="8"/>
  <c r="I20" i="19" l="1"/>
  <c r="I18" i="19"/>
  <c r="I15" i="19"/>
  <c r="I23" i="19"/>
  <c r="I10" i="19"/>
  <c r="I22" i="19"/>
  <c r="J13" i="12"/>
  <c r="J14" i="12"/>
  <c r="J14" i="7"/>
  <c r="G87" i="8"/>
  <c r="J87" i="8" s="1"/>
  <c r="I91" i="8" l="1"/>
  <c r="G91" i="8"/>
  <c r="I90" i="8"/>
  <c r="G90" i="8"/>
  <c r="I89" i="8"/>
  <c r="G89" i="8"/>
  <c r="H88" i="8"/>
  <c r="I88" i="8" s="1"/>
  <c r="G88" i="8"/>
  <c r="I86" i="8"/>
  <c r="G86" i="8"/>
  <c r="H85" i="8"/>
  <c r="I85" i="8" s="1"/>
  <c r="G85" i="8"/>
  <c r="I84" i="8"/>
  <c r="G84" i="8"/>
  <c r="H83" i="8"/>
  <c r="I83" i="8" s="1"/>
  <c r="G83" i="8"/>
  <c r="H82" i="8"/>
  <c r="I82" i="8" s="1"/>
  <c r="G82" i="8"/>
  <c r="I81" i="8"/>
  <c r="G81" i="8"/>
  <c r="H80" i="8"/>
  <c r="I80" i="8" s="1"/>
  <c r="G80" i="8"/>
  <c r="I78" i="8"/>
  <c r="G78" i="8"/>
  <c r="I77" i="8"/>
  <c r="G77" i="8"/>
  <c r="H76" i="8"/>
  <c r="I76" i="8" s="1"/>
  <c r="G76" i="8"/>
  <c r="H75" i="8"/>
  <c r="I75" i="8" s="1"/>
  <c r="G75" i="8"/>
  <c r="H74" i="8"/>
  <c r="I74" i="8" s="1"/>
  <c r="G74" i="8"/>
  <c r="H73" i="8"/>
  <c r="I73" i="8" s="1"/>
  <c r="G73" i="8"/>
  <c r="I72" i="8"/>
  <c r="H72" i="8"/>
  <c r="G72" i="8"/>
  <c r="H71" i="8"/>
  <c r="I71" i="8" s="1"/>
  <c r="G71" i="8"/>
  <c r="H70" i="8"/>
  <c r="I70" i="8" s="1"/>
  <c r="G70" i="8"/>
  <c r="H69" i="8"/>
  <c r="I69" i="8" s="1"/>
  <c r="G69" i="8"/>
  <c r="I67" i="8"/>
  <c r="G67" i="8"/>
  <c r="I66" i="8"/>
  <c r="G66" i="8"/>
  <c r="I65" i="8"/>
  <c r="G65" i="8"/>
  <c r="I63" i="8"/>
  <c r="H58" i="8"/>
  <c r="I58" i="8"/>
  <c r="J58" i="8" s="1"/>
  <c r="I56" i="8"/>
  <c r="G56" i="8"/>
  <c r="I55" i="8"/>
  <c r="G55" i="8"/>
  <c r="I54" i="8"/>
  <c r="G54" i="8"/>
  <c r="I52" i="8"/>
  <c r="G52" i="8"/>
  <c r="I51" i="8"/>
  <c r="G51" i="8"/>
  <c r="I50" i="8"/>
  <c r="G50" i="8"/>
  <c r="H49" i="8"/>
  <c r="H48" i="8"/>
  <c r="I48" i="8" s="1"/>
  <c r="G48" i="8"/>
  <c r="I47" i="8"/>
  <c r="G47" i="8"/>
  <c r="I46" i="8"/>
  <c r="G46" i="8"/>
  <c r="I45" i="8"/>
  <c r="I43" i="8"/>
  <c r="G43" i="8"/>
  <c r="I42" i="8"/>
  <c r="G42" i="8"/>
  <c r="I41" i="8"/>
  <c r="G41" i="8"/>
  <c r="I31" i="8"/>
  <c r="I25" i="8"/>
  <c r="G25" i="8"/>
  <c r="B14" i="8"/>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8" i="8" s="1"/>
  <c r="B89" i="8" s="1"/>
  <c r="B90" i="8" s="1"/>
  <c r="B91" i="8" s="1"/>
  <c r="E12" i="8"/>
  <c r="E10" i="8"/>
  <c r="J51" i="8" l="1"/>
  <c r="J25" i="8"/>
  <c r="J47" i="8"/>
  <c r="J70" i="8"/>
  <c r="J66" i="8"/>
  <c r="J50" i="8"/>
  <c r="J52" i="8"/>
  <c r="J78" i="8"/>
  <c r="J81" i="8"/>
  <c r="J83" i="8"/>
  <c r="J42" i="8"/>
  <c r="J80" i="8"/>
  <c r="J84" i="8"/>
  <c r="J86" i="8"/>
  <c r="J46" i="8"/>
  <c r="J88" i="8"/>
  <c r="J54" i="8"/>
  <c r="J56" i="8"/>
  <c r="J72" i="8"/>
  <c r="J73" i="8"/>
  <c r="J76" i="8"/>
  <c r="J41" i="8"/>
  <c r="J43" i="8"/>
  <c r="J71" i="8"/>
  <c r="J75" i="8"/>
  <c r="J77" i="8"/>
  <c r="J89" i="8"/>
  <c r="J91" i="8"/>
  <c r="J65" i="8"/>
  <c r="J90" i="8"/>
  <c r="J55" i="8"/>
  <c r="J67" i="8"/>
  <c r="J48" i="8"/>
  <c r="J74" i="8"/>
  <c r="I28" i="8"/>
  <c r="G28" i="8"/>
  <c r="J28" i="8" s="1"/>
  <c r="I32" i="8"/>
  <c r="G32" i="8"/>
  <c r="J32" i="8" s="1"/>
  <c r="G62" i="8"/>
  <c r="I62" i="8"/>
  <c r="I23" i="8"/>
  <c r="G23" i="8"/>
  <c r="J23" i="8" s="1"/>
  <c r="G35" i="8"/>
  <c r="I35" i="8"/>
  <c r="G31" i="8"/>
  <c r="J31" i="8" s="1"/>
  <c r="I44" i="8"/>
  <c r="G44" i="8"/>
  <c r="I49" i="8"/>
  <c r="G49" i="8"/>
  <c r="J69" i="8"/>
  <c r="J82" i="8"/>
  <c r="J85" i="8"/>
  <c r="G45" i="8"/>
  <c r="J45" i="8" s="1"/>
  <c r="G63" i="8"/>
  <c r="J63" i="8" s="1"/>
  <c r="J35" i="8" l="1"/>
  <c r="J49" i="8"/>
  <c r="I39" i="8"/>
  <c r="G39" i="8"/>
  <c r="J39" i="8" s="1"/>
  <c r="G33" i="8"/>
  <c r="I33" i="8"/>
  <c r="I27" i="8"/>
  <c r="G27" i="8"/>
  <c r="J27" i="8" s="1"/>
  <c r="G37" i="8"/>
  <c r="I37" i="8"/>
  <c r="I34" i="8"/>
  <c r="G34" i="8"/>
  <c r="J34" i="8" s="1"/>
  <c r="I22" i="8"/>
  <c r="G22" i="8"/>
  <c r="J22" i="8" s="1"/>
  <c r="I19" i="8"/>
  <c r="G19" i="8"/>
  <c r="J19" i="8" s="1"/>
  <c r="G24" i="8"/>
  <c r="I24" i="8"/>
  <c r="I36" i="8"/>
  <c r="G36" i="8"/>
  <c r="J36" i="8" s="1"/>
  <c r="I21" i="8"/>
  <c r="G21" i="8"/>
  <c r="J21" i="8" s="1"/>
  <c r="I38" i="8"/>
  <c r="G38" i="8"/>
  <c r="J38" i="8" s="1"/>
  <c r="J44" i="8"/>
  <c r="G16" i="8"/>
  <c r="I16" i="8"/>
  <c r="I59" i="8"/>
  <c r="G59" i="8"/>
  <c r="G30" i="8"/>
  <c r="I30" i="8"/>
  <c r="G20" i="8"/>
  <c r="I20" i="8"/>
  <c r="I17" i="8"/>
  <c r="G17" i="8"/>
  <c r="I15" i="8"/>
  <c r="G15" i="8"/>
  <c r="G29" i="8"/>
  <c r="I29" i="8"/>
  <c r="I40" i="8"/>
  <c r="G40" i="8"/>
  <c r="G26" i="8"/>
  <c r="I26" i="8"/>
  <c r="I68" i="8"/>
  <c r="G68" i="8"/>
  <c r="J62" i="8"/>
  <c r="J26" i="8" l="1"/>
  <c r="J30" i="8"/>
  <c r="J16" i="8"/>
  <c r="J29" i="8"/>
  <c r="J68" i="8"/>
  <c r="J40" i="8"/>
  <c r="J15" i="8"/>
  <c r="J59" i="8"/>
  <c r="J24" i="8"/>
  <c r="J37" i="8"/>
  <c r="J20" i="8"/>
  <c r="J33" i="8"/>
  <c r="J17" i="8"/>
  <c r="J93" i="8" l="1"/>
  <c r="J94" i="8" s="1"/>
  <c r="J96" i="8" l="1"/>
  <c r="J98" i="8" s="1"/>
  <c r="E17" i="13"/>
  <c r="J95" i="8"/>
  <c r="J100" i="8" s="1"/>
  <c r="I12" i="3" l="1"/>
  <c r="J12" i="3" s="1"/>
  <c r="G13" i="3"/>
  <c r="I13" i="3"/>
  <c r="H30" i="2"/>
  <c r="I30" i="2" s="1"/>
  <c r="J13" i="3" l="1"/>
  <c r="G30" i="2"/>
  <c r="J30" i="2" s="1"/>
  <c r="I33" i="3" l="1"/>
  <c r="G38" i="1"/>
  <c r="G33" i="3" l="1"/>
  <c r="J33" i="3" s="1"/>
  <c r="I38" i="1"/>
  <c r="J38" i="1" s="1"/>
  <c r="I29" i="16" l="1"/>
  <c r="I28" i="16"/>
  <c r="I26" i="16"/>
  <c r="I25" i="16"/>
  <c r="I24" i="16"/>
  <c r="I22" i="16"/>
  <c r="I21" i="16"/>
  <c r="I20" i="16"/>
  <c r="I18" i="16"/>
  <c r="I17" i="16"/>
  <c r="G16" i="16"/>
  <c r="I14" i="16"/>
  <c r="I13" i="16"/>
  <c r="I10" i="16"/>
  <c r="B10" i="16"/>
  <c r="B11" i="16" s="1"/>
  <c r="B12" i="16" s="1"/>
  <c r="B13" i="16" s="1"/>
  <c r="B14" i="16" s="1"/>
  <c r="B15" i="16" s="1"/>
  <c r="B16" i="16" s="1"/>
  <c r="B17" i="16" s="1"/>
  <c r="B18" i="16" s="1"/>
  <c r="B19" i="16" s="1"/>
  <c r="B20" i="16" s="1"/>
  <c r="B21" i="16" s="1"/>
  <c r="B22" i="16" s="1"/>
  <c r="B23" i="16" s="1"/>
  <c r="B24" i="16" s="1"/>
  <c r="B25" i="16" s="1"/>
  <c r="B26" i="16" s="1"/>
  <c r="B27" i="16" s="1"/>
  <c r="B28" i="16" s="1"/>
  <c r="B29" i="16" s="1"/>
  <c r="G12" i="16" l="1"/>
  <c r="G13" i="16"/>
  <c r="J13" i="16" s="1"/>
  <c r="I12" i="16"/>
  <c r="J12" i="16" s="1"/>
  <c r="G17" i="16"/>
  <c r="J17" i="16" s="1"/>
  <c r="G21" i="16"/>
  <c r="J21" i="16" s="1"/>
  <c r="G25" i="16"/>
  <c r="J25" i="16" s="1"/>
  <c r="G14" i="16"/>
  <c r="J14" i="16" s="1"/>
  <c r="I16" i="16"/>
  <c r="J16" i="16" s="1"/>
  <c r="G20" i="16"/>
  <c r="J20" i="16" s="1"/>
  <c r="G24" i="16"/>
  <c r="J24" i="16" s="1"/>
  <c r="G28" i="16"/>
  <c r="J28" i="16" s="1"/>
  <c r="G29" i="16"/>
  <c r="J29" i="16" s="1"/>
  <c r="I11" i="16"/>
  <c r="G11" i="16"/>
  <c r="G18" i="16"/>
  <c r="J18" i="16" s="1"/>
  <c r="I27" i="16"/>
  <c r="G27" i="16"/>
  <c r="I15" i="16"/>
  <c r="G15" i="16"/>
  <c r="G22" i="16"/>
  <c r="J22" i="16" s="1"/>
  <c r="G10" i="16"/>
  <c r="J10" i="16" s="1"/>
  <c r="I19" i="16"/>
  <c r="G19" i="16"/>
  <c r="G26" i="16"/>
  <c r="J26" i="16" s="1"/>
  <c r="I23" i="16"/>
  <c r="G23" i="16"/>
  <c r="J11" i="16" l="1"/>
  <c r="J23" i="16"/>
  <c r="J19" i="16"/>
  <c r="J15" i="16"/>
  <c r="J27" i="16"/>
  <c r="J31" i="16" l="1"/>
  <c r="E48" i="13" s="1"/>
  <c r="E50" i="13" s="1"/>
  <c r="E52" i="13" s="1"/>
  <c r="J34" i="16"/>
  <c r="J36" i="16" s="1"/>
  <c r="E53" i="13" l="1"/>
  <c r="E55" i="13" s="1"/>
  <c r="E51" i="13"/>
  <c r="E54" i="13" s="1"/>
  <c r="E57" i="13" s="1"/>
  <c r="J32" i="16"/>
  <c r="J33" i="16"/>
  <c r="J38" i="16" l="1"/>
  <c r="G16" i="7" l="1"/>
  <c r="J16" i="7" s="1"/>
  <c r="I10" i="15" l="1"/>
  <c r="G10" i="15"/>
  <c r="G10" i="11"/>
  <c r="J10" i="11" s="1"/>
  <c r="G11" i="11"/>
  <c r="J11" i="11" s="1"/>
  <c r="G12" i="11"/>
  <c r="J12" i="11" s="1"/>
  <c r="G13" i="11"/>
  <c r="J13" i="11" s="1"/>
  <c r="G16" i="11"/>
  <c r="J16" i="11" s="1"/>
  <c r="G18" i="11"/>
  <c r="J18" i="11" s="1"/>
  <c r="G19" i="11"/>
  <c r="J19" i="11" s="1"/>
  <c r="G20" i="11"/>
  <c r="J20" i="11" s="1"/>
  <c r="G21" i="11"/>
  <c r="J21" i="11" s="1"/>
  <c r="G22" i="11"/>
  <c r="J22" i="11" s="1"/>
  <c r="G23" i="11"/>
  <c r="J23" i="11" s="1"/>
  <c r="G24" i="11"/>
  <c r="J24" i="11" s="1"/>
  <c r="G25" i="11"/>
  <c r="J25" i="11" s="1"/>
  <c r="G26" i="11"/>
  <c r="J26" i="11" s="1"/>
  <c r="G27" i="11"/>
  <c r="J27" i="11" s="1"/>
  <c r="G30" i="11"/>
  <c r="J30" i="11" s="1"/>
  <c r="G31" i="11"/>
  <c r="J31" i="11" s="1"/>
  <c r="G32" i="11"/>
  <c r="J32" i="11" s="1"/>
  <c r="G33" i="11"/>
  <c r="J33" i="11" s="1"/>
  <c r="G34" i="11"/>
  <c r="J34" i="11" s="1"/>
  <c r="G35" i="11"/>
  <c r="J35" i="11" s="1"/>
  <c r="G36" i="11"/>
  <c r="J36" i="11" s="1"/>
  <c r="G37" i="11"/>
  <c r="J37" i="11" s="1"/>
  <c r="G38" i="11"/>
  <c r="J38" i="11" s="1"/>
  <c r="G39" i="11"/>
  <c r="J39" i="11" s="1"/>
  <c r="G40" i="11"/>
  <c r="J40" i="11" s="1"/>
  <c r="G41" i="11"/>
  <c r="J41" i="11" s="1"/>
  <c r="G42" i="11"/>
  <c r="J42" i="11" s="1"/>
  <c r="G43" i="11"/>
  <c r="J43" i="11" s="1"/>
  <c r="G44" i="11"/>
  <c r="J44" i="11" s="1"/>
  <c r="G45" i="11"/>
  <c r="J45" i="11" s="1"/>
  <c r="G46" i="11"/>
  <c r="J46" i="11" s="1"/>
  <c r="G47" i="11"/>
  <c r="J47" i="11" s="1"/>
  <c r="G48" i="11"/>
  <c r="J48" i="11" s="1"/>
  <c r="G49" i="11"/>
  <c r="J49" i="11" s="1"/>
  <c r="G50" i="11"/>
  <c r="J50" i="11" s="1"/>
  <c r="G51" i="11"/>
  <c r="J51" i="11" s="1"/>
  <c r="G52" i="11"/>
  <c r="J52" i="11" s="1"/>
  <c r="G53" i="11"/>
  <c r="J53" i="11" s="1"/>
  <c r="G54" i="11"/>
  <c r="J54" i="11" s="1"/>
  <c r="G55" i="11"/>
  <c r="J55" i="11" s="1"/>
  <c r="G56" i="11"/>
  <c r="G57" i="11"/>
  <c r="J57" i="11" s="1"/>
  <c r="G9" i="11"/>
  <c r="J9" i="11" s="1"/>
  <c r="I12" i="10"/>
  <c r="I13" i="10"/>
  <c r="I14" i="10"/>
  <c r="I15" i="10"/>
  <c r="I16" i="10"/>
  <c r="I17" i="10"/>
  <c r="J17" i="10" s="1"/>
  <c r="I18" i="10"/>
  <c r="I19" i="10"/>
  <c r="I20" i="10"/>
  <c r="I21" i="10"/>
  <c r="I22" i="10"/>
  <c r="I23" i="10"/>
  <c r="I24" i="10"/>
  <c r="I25" i="10"/>
  <c r="I26" i="10"/>
  <c r="I27" i="10"/>
  <c r="I28" i="10"/>
  <c r="I29" i="10"/>
  <c r="J29" i="10" s="1"/>
  <c r="I30" i="10"/>
  <c r="I31" i="10"/>
  <c r="I32" i="10"/>
  <c r="I33" i="10"/>
  <c r="I34" i="10"/>
  <c r="I35" i="10"/>
  <c r="I36" i="10"/>
  <c r="I37" i="10"/>
  <c r="I38" i="10"/>
  <c r="I39" i="10"/>
  <c r="I40" i="10"/>
  <c r="I41" i="10"/>
  <c r="I42" i="10"/>
  <c r="I43" i="10"/>
  <c r="I44" i="10"/>
  <c r="I45" i="10"/>
  <c r="I46" i="10"/>
  <c r="I47" i="10"/>
  <c r="I48" i="10"/>
  <c r="I49" i="10"/>
  <c r="J49" i="10" s="1"/>
  <c r="I50" i="10"/>
  <c r="I51" i="10"/>
  <c r="I52" i="10"/>
  <c r="I53" i="10"/>
  <c r="J53" i="10" s="1"/>
  <c r="I54" i="10"/>
  <c r="I55" i="10"/>
  <c r="I56" i="10"/>
  <c r="I57" i="10"/>
  <c r="I58" i="10"/>
  <c r="I59" i="10"/>
  <c r="I60" i="10"/>
  <c r="I61" i="10"/>
  <c r="J61" i="10" s="1"/>
  <c r="I62" i="10"/>
  <c r="I63" i="10"/>
  <c r="I11" i="10"/>
  <c r="G12" i="10"/>
  <c r="G13" i="10"/>
  <c r="G14" i="10"/>
  <c r="G15" i="10"/>
  <c r="G16" i="10"/>
  <c r="J16" i="10" s="1"/>
  <c r="G17" i="10"/>
  <c r="G18" i="10"/>
  <c r="G19" i="10"/>
  <c r="G20" i="10"/>
  <c r="G21" i="10"/>
  <c r="G22" i="10"/>
  <c r="G23" i="10"/>
  <c r="G24" i="10"/>
  <c r="J24" i="10" s="1"/>
  <c r="G25" i="10"/>
  <c r="G26" i="10"/>
  <c r="G27" i="10"/>
  <c r="G28" i="10"/>
  <c r="J28" i="10" s="1"/>
  <c r="G29" i="10"/>
  <c r="G30" i="10"/>
  <c r="G31" i="10"/>
  <c r="G32" i="10"/>
  <c r="J32" i="10" s="1"/>
  <c r="G33" i="10"/>
  <c r="G34" i="10"/>
  <c r="G35" i="10"/>
  <c r="G36" i="10"/>
  <c r="G37" i="10"/>
  <c r="G38" i="10"/>
  <c r="G39" i="10"/>
  <c r="G40" i="10"/>
  <c r="J40" i="10" s="1"/>
  <c r="G41" i="10"/>
  <c r="G42" i="10"/>
  <c r="G43" i="10"/>
  <c r="G44" i="10"/>
  <c r="J44" i="10" s="1"/>
  <c r="G45" i="10"/>
  <c r="G46" i="10"/>
  <c r="G47" i="10"/>
  <c r="G48" i="10"/>
  <c r="J48" i="10" s="1"/>
  <c r="G49" i="10"/>
  <c r="G50" i="10"/>
  <c r="G51" i="10"/>
  <c r="G52" i="10"/>
  <c r="G53" i="10"/>
  <c r="G54" i="10"/>
  <c r="G55" i="10"/>
  <c r="G56" i="10"/>
  <c r="J56" i="10" s="1"/>
  <c r="G57" i="10"/>
  <c r="G58" i="10"/>
  <c r="G59" i="10"/>
  <c r="G60" i="10"/>
  <c r="J60" i="10" s="1"/>
  <c r="G61" i="10"/>
  <c r="G62" i="10"/>
  <c r="G63" i="10"/>
  <c r="G64" i="10"/>
  <c r="G11" i="10"/>
  <c r="I13" i="9"/>
  <c r="I17" i="9"/>
  <c r="I21" i="9"/>
  <c r="I25" i="9"/>
  <c r="I29" i="9"/>
  <c r="I33" i="9"/>
  <c r="I37" i="9"/>
  <c r="I41" i="9"/>
  <c r="I45" i="9"/>
  <c r="I49" i="9"/>
  <c r="I53" i="9"/>
  <c r="I57" i="9"/>
  <c r="I61" i="9"/>
  <c r="I65" i="9"/>
  <c r="I69" i="9"/>
  <c r="I73" i="9"/>
  <c r="I77" i="9"/>
  <c r="I10" i="6"/>
  <c r="I11" i="6"/>
  <c r="J11" i="6" s="1"/>
  <c r="I12" i="6"/>
  <c r="I13" i="6"/>
  <c r="I14" i="6"/>
  <c r="I15" i="6"/>
  <c r="I16" i="6"/>
  <c r="I17" i="6"/>
  <c r="I18" i="6"/>
  <c r="I19" i="6"/>
  <c r="J19" i="6" s="1"/>
  <c r="I20" i="6"/>
  <c r="I21" i="6"/>
  <c r="I22" i="6"/>
  <c r="I23" i="6"/>
  <c r="J23" i="6" s="1"/>
  <c r="I24" i="6"/>
  <c r="I25" i="6"/>
  <c r="I26" i="6"/>
  <c r="I27" i="6"/>
  <c r="J27" i="6" s="1"/>
  <c r="I28" i="6"/>
  <c r="I29" i="6"/>
  <c r="I30" i="6"/>
  <c r="I31" i="6"/>
  <c r="J31" i="6" s="1"/>
  <c r="I32" i="6"/>
  <c r="I33" i="6"/>
  <c r="I34" i="6"/>
  <c r="I9" i="6"/>
  <c r="J9" i="6" s="1"/>
  <c r="G10" i="6"/>
  <c r="G11" i="6"/>
  <c r="G12" i="6"/>
  <c r="G13" i="6"/>
  <c r="G14" i="6"/>
  <c r="G15" i="6"/>
  <c r="G16" i="6"/>
  <c r="G17" i="6"/>
  <c r="G18" i="6"/>
  <c r="G19" i="6"/>
  <c r="G20" i="6"/>
  <c r="G21" i="6"/>
  <c r="G22" i="6"/>
  <c r="G23" i="6"/>
  <c r="G24" i="6"/>
  <c r="G25" i="6"/>
  <c r="G26" i="6"/>
  <c r="G27" i="6"/>
  <c r="G28" i="6"/>
  <c r="G29" i="6"/>
  <c r="G30" i="6"/>
  <c r="G31" i="6"/>
  <c r="G32" i="6"/>
  <c r="J32" i="6" s="1"/>
  <c r="G33" i="6"/>
  <c r="G34" i="6"/>
  <c r="G9" i="6"/>
  <c r="I10" i="5"/>
  <c r="I11" i="5"/>
  <c r="I12" i="5"/>
  <c r="I13" i="5"/>
  <c r="I14" i="5"/>
  <c r="I15" i="5"/>
  <c r="I16" i="5"/>
  <c r="I17" i="5"/>
  <c r="I18" i="5"/>
  <c r="I19" i="5"/>
  <c r="I20" i="5"/>
  <c r="I21" i="5"/>
  <c r="I22" i="5"/>
  <c r="I23" i="5"/>
  <c r="I24" i="5"/>
  <c r="I25" i="5"/>
  <c r="I26" i="5"/>
  <c r="I27" i="5"/>
  <c r="I28" i="5"/>
  <c r="I29" i="5"/>
  <c r="I30" i="5"/>
  <c r="I31" i="5"/>
  <c r="I32" i="5"/>
  <c r="I33" i="5"/>
  <c r="G10" i="5"/>
  <c r="G11" i="5"/>
  <c r="J11" i="5" s="1"/>
  <c r="G12" i="5"/>
  <c r="G13" i="5"/>
  <c r="G14" i="5"/>
  <c r="J14" i="5" s="1"/>
  <c r="G15" i="5"/>
  <c r="J15" i="5" s="1"/>
  <c r="G16" i="5"/>
  <c r="J16" i="5" s="1"/>
  <c r="G17" i="5"/>
  <c r="G18" i="5"/>
  <c r="J18" i="5" s="1"/>
  <c r="G19" i="5"/>
  <c r="J19" i="5" s="1"/>
  <c r="G20" i="5"/>
  <c r="J20" i="5" s="1"/>
  <c r="G21" i="5"/>
  <c r="G22" i="5"/>
  <c r="J22" i="5" s="1"/>
  <c r="G23" i="5"/>
  <c r="J23" i="5" s="1"/>
  <c r="G24" i="5"/>
  <c r="J24" i="5" s="1"/>
  <c r="G25" i="5"/>
  <c r="J25" i="5" s="1"/>
  <c r="G26" i="5"/>
  <c r="J26" i="5" s="1"/>
  <c r="G27" i="5"/>
  <c r="J27" i="5" s="1"/>
  <c r="G28" i="5"/>
  <c r="J28" i="5" s="1"/>
  <c r="G29" i="5"/>
  <c r="G30" i="5"/>
  <c r="J30" i="5" s="1"/>
  <c r="G31" i="5"/>
  <c r="G32" i="5"/>
  <c r="J32" i="5" s="1"/>
  <c r="G33" i="5"/>
  <c r="G9" i="5"/>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9" i="4"/>
  <c r="G10" i="4"/>
  <c r="G11" i="4"/>
  <c r="G12" i="4"/>
  <c r="G13" i="4"/>
  <c r="G14" i="4"/>
  <c r="G15" i="4"/>
  <c r="G16" i="4"/>
  <c r="G17" i="4"/>
  <c r="G18" i="4"/>
  <c r="G19" i="4"/>
  <c r="G20" i="4"/>
  <c r="J20" i="4" s="1"/>
  <c r="G21" i="4"/>
  <c r="G22" i="4"/>
  <c r="G23" i="4"/>
  <c r="J23" i="4" s="1"/>
  <c r="G24" i="4"/>
  <c r="J24" i="4" s="1"/>
  <c r="G25" i="4"/>
  <c r="G26" i="4"/>
  <c r="G27" i="4"/>
  <c r="G28" i="4"/>
  <c r="G29" i="4"/>
  <c r="G30" i="4"/>
  <c r="G31" i="4"/>
  <c r="G32" i="4"/>
  <c r="J32" i="4" s="1"/>
  <c r="G33" i="4"/>
  <c r="G34" i="4"/>
  <c r="G35" i="4"/>
  <c r="G36" i="4"/>
  <c r="J36" i="4" s="1"/>
  <c r="G37" i="4"/>
  <c r="G38" i="4"/>
  <c r="G39" i="4"/>
  <c r="G40" i="4"/>
  <c r="G41" i="4"/>
  <c r="J41" i="4" s="1"/>
  <c r="G9" i="4"/>
  <c r="G15" i="3"/>
  <c r="G16" i="3"/>
  <c r="G23" i="3"/>
  <c r="G24" i="3"/>
  <c r="G31" i="3"/>
  <c r="I10" i="2"/>
  <c r="I11" i="2"/>
  <c r="I16" i="2"/>
  <c r="I17" i="2"/>
  <c r="I18" i="2"/>
  <c r="I19" i="2"/>
  <c r="I23" i="2"/>
  <c r="I27" i="2"/>
  <c r="I32" i="2"/>
  <c r="I36" i="2"/>
  <c r="I37" i="2"/>
  <c r="I38" i="2"/>
  <c r="I9" i="2"/>
  <c r="G17" i="2"/>
  <c r="G18" i="2"/>
  <c r="G38" i="2"/>
  <c r="I12" i="1"/>
  <c r="I13" i="1"/>
  <c r="I16" i="1"/>
  <c r="I17" i="1"/>
  <c r="I20" i="1"/>
  <c r="I21" i="1"/>
  <c r="I24" i="1"/>
  <c r="I25" i="1"/>
  <c r="I28" i="1"/>
  <c r="I29" i="1"/>
  <c r="I32" i="1"/>
  <c r="I33" i="1"/>
  <c r="I36" i="1"/>
  <c r="G15" i="1"/>
  <c r="G19" i="1"/>
  <c r="G23" i="1"/>
  <c r="G27" i="1"/>
  <c r="G31" i="1"/>
  <c r="G35" i="1"/>
  <c r="G10" i="12"/>
  <c r="G17" i="11"/>
  <c r="J17" i="11" s="1"/>
  <c r="G28" i="11"/>
  <c r="J28" i="11" s="1"/>
  <c r="G29" i="11"/>
  <c r="J29" i="11" s="1"/>
  <c r="I64" i="10"/>
  <c r="I11" i="9"/>
  <c r="G12" i="9"/>
  <c r="G13" i="9"/>
  <c r="I14" i="9"/>
  <c r="I15" i="9"/>
  <c r="G16" i="9"/>
  <c r="G17" i="9"/>
  <c r="I18" i="9"/>
  <c r="I19" i="9"/>
  <c r="I20" i="9"/>
  <c r="G21" i="9"/>
  <c r="I22" i="9"/>
  <c r="I23" i="9"/>
  <c r="G24" i="9"/>
  <c r="G25" i="9"/>
  <c r="I26" i="9"/>
  <c r="I27" i="9"/>
  <c r="I28" i="9"/>
  <c r="G29" i="9"/>
  <c r="I30" i="9"/>
  <c r="I31" i="9"/>
  <c r="G32" i="9"/>
  <c r="G33" i="9"/>
  <c r="I34" i="9"/>
  <c r="I35" i="9"/>
  <c r="I36" i="9"/>
  <c r="G37" i="9"/>
  <c r="I38" i="9"/>
  <c r="I39" i="9"/>
  <c r="G40" i="9"/>
  <c r="G41" i="9"/>
  <c r="I42" i="9"/>
  <c r="I43" i="9"/>
  <c r="I44" i="9"/>
  <c r="G45" i="9"/>
  <c r="J45" i="9" s="1"/>
  <c r="I46" i="9"/>
  <c r="I47" i="9"/>
  <c r="G48" i="9"/>
  <c r="G49" i="9"/>
  <c r="I50" i="9"/>
  <c r="I51" i="9"/>
  <c r="I52" i="9"/>
  <c r="G53" i="9"/>
  <c r="I54" i="9"/>
  <c r="I55" i="9"/>
  <c r="G56" i="9"/>
  <c r="G57" i="9"/>
  <c r="I58" i="9"/>
  <c r="I59" i="9"/>
  <c r="I60" i="9"/>
  <c r="G61" i="9"/>
  <c r="J61" i="9" s="1"/>
  <c r="I62" i="9"/>
  <c r="I63" i="9"/>
  <c r="G64" i="9"/>
  <c r="G65" i="9"/>
  <c r="I66" i="9"/>
  <c r="I67" i="9"/>
  <c r="I68" i="9"/>
  <c r="G69" i="9"/>
  <c r="I70" i="9"/>
  <c r="I71" i="9"/>
  <c r="G72" i="9"/>
  <c r="G73" i="9"/>
  <c r="I74" i="9"/>
  <c r="I75" i="9"/>
  <c r="I76" i="9"/>
  <c r="G77" i="9"/>
  <c r="J77" i="9" s="1"/>
  <c r="I78" i="9"/>
  <c r="I79" i="9"/>
  <c r="I10" i="9"/>
  <c r="G10" i="7"/>
  <c r="I11" i="7"/>
  <c r="I12" i="7"/>
  <c r="I13" i="7"/>
  <c r="G15" i="7"/>
  <c r="G20" i="7"/>
  <c r="J20" i="7" s="1"/>
  <c r="G24" i="7"/>
  <c r="J24" i="7" s="1"/>
  <c r="G9" i="7"/>
  <c r="I9" i="5"/>
  <c r="G14" i="3"/>
  <c r="I15" i="3"/>
  <c r="I16" i="3"/>
  <c r="G17" i="3"/>
  <c r="G18" i="3"/>
  <c r="I19" i="3"/>
  <c r="I20" i="3"/>
  <c r="G21" i="3"/>
  <c r="G22" i="3"/>
  <c r="I23" i="3"/>
  <c r="I24" i="3"/>
  <c r="G25" i="3"/>
  <c r="I26" i="3"/>
  <c r="I27" i="3"/>
  <c r="I28" i="3"/>
  <c r="G29" i="3"/>
  <c r="G30" i="3"/>
  <c r="I31" i="3"/>
  <c r="I32" i="3"/>
  <c r="G9" i="3"/>
  <c r="I12" i="2"/>
  <c r="I13" i="2"/>
  <c r="G14" i="2"/>
  <c r="G15" i="2"/>
  <c r="I20" i="2"/>
  <c r="I21" i="2"/>
  <c r="I22" i="2"/>
  <c r="G23" i="2"/>
  <c r="I24" i="2"/>
  <c r="I25" i="2"/>
  <c r="G26" i="2"/>
  <c r="G27" i="2"/>
  <c r="I28" i="2"/>
  <c r="I29" i="2"/>
  <c r="I31" i="2"/>
  <c r="G32" i="2"/>
  <c r="I33" i="2"/>
  <c r="I34" i="2"/>
  <c r="G35" i="2"/>
  <c r="G36" i="2"/>
  <c r="J36" i="2" s="1"/>
  <c r="G12" i="1"/>
  <c r="G13" i="1"/>
  <c r="I14" i="1"/>
  <c r="I15" i="1"/>
  <c r="G16" i="1"/>
  <c r="G17" i="1"/>
  <c r="J17" i="1" s="1"/>
  <c r="I18" i="1"/>
  <c r="I19" i="1"/>
  <c r="G20" i="1"/>
  <c r="G21" i="1"/>
  <c r="I22" i="1"/>
  <c r="I23" i="1"/>
  <c r="G24" i="1"/>
  <c r="G25" i="1"/>
  <c r="J25" i="1" s="1"/>
  <c r="I26" i="1"/>
  <c r="I27" i="1"/>
  <c r="G28" i="1"/>
  <c r="G29" i="1"/>
  <c r="I30" i="1"/>
  <c r="I31" i="1"/>
  <c r="G32" i="1"/>
  <c r="G33" i="1"/>
  <c r="J33" i="1" s="1"/>
  <c r="I34" i="1"/>
  <c r="I35" i="1"/>
  <c r="G36" i="1"/>
  <c r="G37" i="1"/>
  <c r="I11" i="1"/>
  <c r="B10" i="15"/>
  <c r="B11" i="15" s="1"/>
  <c r="B12" i="15" s="1"/>
  <c r="B13" i="15" s="1"/>
  <c r="B14" i="15" s="1"/>
  <c r="B15" i="15" s="1"/>
  <c r="B16" i="15" s="1"/>
  <c r="B17" i="15" s="1"/>
  <c r="B18" i="15" s="1"/>
  <c r="B19" i="15" s="1"/>
  <c r="B20" i="15" s="1"/>
  <c r="B21" i="15" s="1"/>
  <c r="B22" i="15" s="1"/>
  <c r="B23" i="15" s="1"/>
  <c r="B24" i="15" s="1"/>
  <c r="B25" i="15" s="1"/>
  <c r="B10" i="12"/>
  <c r="B11" i="12" s="1"/>
  <c r="B12" i="12" s="1"/>
  <c r="B13" i="12" s="1"/>
  <c r="B14" i="12" s="1"/>
  <c r="B15" i="12" s="1"/>
  <c r="B9" i="11"/>
  <c r="B10" i="11" s="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1" i="11" s="1"/>
  <c r="B42" i="11" s="1"/>
  <c r="B43" i="11" s="1"/>
  <c r="B44" i="11" s="1"/>
  <c r="B45" i="11" s="1"/>
  <c r="B46" i="11" s="1"/>
  <c r="B47" i="11" s="1"/>
  <c r="B48" i="11" s="1"/>
  <c r="B49" i="11" s="1"/>
  <c r="B50" i="11" s="1"/>
  <c r="B51" i="11" s="1"/>
  <c r="J58" i="10"/>
  <c r="J54" i="10"/>
  <c r="J46" i="10"/>
  <c r="J42" i="10"/>
  <c r="J38" i="10"/>
  <c r="J26" i="10"/>
  <c r="J22" i="10"/>
  <c r="B11" i="10"/>
  <c r="B12" i="10" s="1"/>
  <c r="B13" i="10" s="1"/>
  <c r="B14" i="10" s="1"/>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1" i="10" s="1"/>
  <c r="B62" i="10" s="1"/>
  <c r="B63" i="10" s="1"/>
  <c r="B64" i="10" s="1"/>
  <c r="B10" i="9"/>
  <c r="B11" i="9" s="1"/>
  <c r="B12" i="9" s="1"/>
  <c r="B13" i="9" s="1"/>
  <c r="B14" i="9" s="1"/>
  <c r="B15" i="9" s="1"/>
  <c r="B16" i="9" s="1"/>
  <c r="B17" i="9" s="1"/>
  <c r="B18" i="9" s="1"/>
  <c r="B19" i="9" s="1"/>
  <c r="B20" i="9" s="1"/>
  <c r="B21" i="9" s="1"/>
  <c r="B22" i="9" s="1"/>
  <c r="B23" i="9" s="1"/>
  <c r="B24" i="9" s="1"/>
  <c r="B25" i="9" s="1"/>
  <c r="B26" i="9" s="1"/>
  <c r="B27" i="9" s="1"/>
  <c r="B28"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77" i="9" s="1"/>
  <c r="B78" i="9" s="1"/>
  <c r="B79" i="9" s="1"/>
  <c r="B9" i="7"/>
  <c r="B10" i="7" s="1"/>
  <c r="B11" i="7" s="1"/>
  <c r="B12" i="7" s="1"/>
  <c r="B13" i="7" s="1"/>
  <c r="B14" i="7" s="1"/>
  <c r="B15" i="7" s="1"/>
  <c r="B16" i="7" s="1"/>
  <c r="B17" i="7" s="1"/>
  <c r="B18" i="7" s="1"/>
  <c r="B19" i="7" s="1"/>
  <c r="B20" i="7" s="1"/>
  <c r="B21" i="7" s="1"/>
  <c r="B9" i="6"/>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3" i="6" s="1"/>
  <c r="B34" i="6" s="1"/>
  <c r="J12" i="5"/>
  <c r="J10" i="5"/>
  <c r="B9" i="5"/>
  <c r="B10" i="5" s="1"/>
  <c r="B11" i="5" s="1"/>
  <c r="B12" i="5" s="1"/>
  <c r="B13" i="5" s="1"/>
  <c r="B14" i="5" s="1"/>
  <c r="B15" i="5" s="1"/>
  <c r="B16" i="5" s="1"/>
  <c r="B17" i="5" s="1"/>
  <c r="B18" i="5" s="1"/>
  <c r="B19" i="5" s="1"/>
  <c r="B20" i="5" s="1"/>
  <c r="B21" i="5" s="1"/>
  <c r="B22" i="5" s="1"/>
  <c r="B23" i="5" s="1"/>
  <c r="B24" i="5" s="1"/>
  <c r="B25" i="5" s="1"/>
  <c r="B26" i="5" s="1"/>
  <c r="B27" i="5" s="1"/>
  <c r="B28" i="5" s="1"/>
  <c r="B29" i="5" s="1"/>
  <c r="B31" i="5" s="1"/>
  <c r="B30" i="5" s="1"/>
  <c r="B32" i="5" s="1"/>
  <c r="B33" i="5" s="1"/>
  <c r="J35" i="4"/>
  <c r="J28" i="4"/>
  <c r="B9" i="4"/>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9" i="4" s="1"/>
  <c r="B38" i="4" s="1"/>
  <c r="B40" i="4" s="1"/>
  <c r="B41" i="4" s="1"/>
  <c r="B9" i="3"/>
  <c r="B10" i="3" s="1"/>
  <c r="B11" i="3" s="1"/>
  <c r="F37" i="2"/>
  <c r="G37" i="2" s="1"/>
  <c r="F20" i="2"/>
  <c r="F19" i="2"/>
  <c r="G19" i="2" s="1"/>
  <c r="F16" i="2"/>
  <c r="G16" i="2" s="1"/>
  <c r="F11" i="2"/>
  <c r="G11" i="2" s="1"/>
  <c r="F10" i="2"/>
  <c r="G10" i="2" s="1"/>
  <c r="F9" i="2"/>
  <c r="G9" i="2" s="1"/>
  <c r="B9" i="2"/>
  <c r="B10" i="2" s="1"/>
  <c r="B11" i="2" s="1"/>
  <c r="B12" i="2" s="1"/>
  <c r="B13" i="2" s="1"/>
  <c r="B14" i="2" s="1"/>
  <c r="B15" i="2" s="1"/>
  <c r="B16" i="2" s="1"/>
  <c r="B17" i="2" s="1"/>
  <c r="B18" i="2" s="1"/>
  <c r="B19" i="2" s="1"/>
  <c r="B20" i="2" s="1"/>
  <c r="B21" i="2" s="1"/>
  <c r="B22" i="2" s="1"/>
  <c r="B23" i="2" s="1"/>
  <c r="B24" i="2" s="1"/>
  <c r="B25" i="2" s="1"/>
  <c r="B26" i="2" s="1"/>
  <c r="B27" i="2" s="1"/>
  <c r="B28" i="2" s="1"/>
  <c r="B29" i="2" s="1"/>
  <c r="B11" i="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5" i="1" s="1"/>
  <c r="B34" i="1" s="1"/>
  <c r="B36" i="1" s="1"/>
  <c r="B37" i="1" s="1"/>
  <c r="B38" i="1" s="1"/>
  <c r="J59" i="11" l="1"/>
  <c r="J11" i="10"/>
  <c r="J73" i="9"/>
  <c r="J69" i="9"/>
  <c r="J65" i="9"/>
  <c r="J57" i="9"/>
  <c r="J53" i="9"/>
  <c r="J49" i="9"/>
  <c r="J41" i="9"/>
  <c r="J37" i="9"/>
  <c r="J33" i="9"/>
  <c r="J34" i="6"/>
  <c r="J30" i="6"/>
  <c r="J16" i="4"/>
  <c r="J12" i="4"/>
  <c r="J9" i="4"/>
  <c r="J38" i="4"/>
  <c r="J34" i="4"/>
  <c r="J30" i="4"/>
  <c r="J26" i="4"/>
  <c r="J22" i="4"/>
  <c r="J18" i="4"/>
  <c r="J14" i="4"/>
  <c r="J10" i="4"/>
  <c r="J39" i="4"/>
  <c r="B12" i="3"/>
  <c r="B13" i="3" s="1"/>
  <c r="B14" i="3" s="1"/>
  <c r="B15" i="3" s="1"/>
  <c r="B16" i="3" s="1"/>
  <c r="B17" i="3" s="1"/>
  <c r="B18" i="3" s="1"/>
  <c r="B19" i="3" s="1"/>
  <c r="B20" i="3" s="1"/>
  <c r="B21" i="3" s="1"/>
  <c r="B22" i="3" s="1"/>
  <c r="B23" i="3" s="1"/>
  <c r="B24" i="3" s="1"/>
  <c r="B25" i="3" s="1"/>
  <c r="B26" i="3" s="1"/>
  <c r="B27" i="3" s="1"/>
  <c r="B29" i="3" s="1"/>
  <c r="B28" i="3" s="1"/>
  <c r="B30" i="3" s="1"/>
  <c r="B31" i="3" s="1"/>
  <c r="B32" i="3" s="1"/>
  <c r="B33" i="3" s="1"/>
  <c r="J29" i="1"/>
  <c r="J21" i="1"/>
  <c r="J13" i="1"/>
  <c r="B22" i="7"/>
  <c r="B23" i="7" s="1"/>
  <c r="B24" i="7" s="1"/>
  <c r="B25" i="7" s="1"/>
  <c r="B28" i="7" s="1"/>
  <c r="B29" i="7" s="1"/>
  <c r="B30" i="7" s="1"/>
  <c r="B31" i="7" s="1"/>
  <c r="G76" i="9"/>
  <c r="J76" i="9" s="1"/>
  <c r="G68" i="9"/>
  <c r="G60" i="9"/>
  <c r="J60" i="9" s="1"/>
  <c r="G52" i="9"/>
  <c r="J52" i="9" s="1"/>
  <c r="G44" i="9"/>
  <c r="J44" i="9" s="1"/>
  <c r="G36" i="9"/>
  <c r="G28" i="9"/>
  <c r="J28" i="9" s="1"/>
  <c r="G20" i="9"/>
  <c r="J20" i="9" s="1"/>
  <c r="G79" i="9"/>
  <c r="J79" i="9" s="1"/>
  <c r="G75" i="9"/>
  <c r="J75" i="9" s="1"/>
  <c r="G71" i="9"/>
  <c r="J71" i="9" s="1"/>
  <c r="G67" i="9"/>
  <c r="J67" i="9" s="1"/>
  <c r="G63" i="9"/>
  <c r="J63" i="9" s="1"/>
  <c r="G59" i="9"/>
  <c r="J59" i="9" s="1"/>
  <c r="G55" i="9"/>
  <c r="J55" i="9" s="1"/>
  <c r="G51" i="9"/>
  <c r="J51" i="9" s="1"/>
  <c r="G47" i="9"/>
  <c r="J47" i="9" s="1"/>
  <c r="G43" i="9"/>
  <c r="J43" i="9" s="1"/>
  <c r="G39" i="9"/>
  <c r="J39" i="9" s="1"/>
  <c r="G35" i="9"/>
  <c r="J35" i="9" s="1"/>
  <c r="G31" i="9"/>
  <c r="J31" i="9" s="1"/>
  <c r="G27" i="9"/>
  <c r="G23" i="9"/>
  <c r="J23" i="9" s="1"/>
  <c r="G19" i="9"/>
  <c r="G15" i="9"/>
  <c r="G11" i="9"/>
  <c r="I72" i="9"/>
  <c r="J72" i="9" s="1"/>
  <c r="I64" i="9"/>
  <c r="J64" i="9" s="1"/>
  <c r="I56" i="9"/>
  <c r="I48" i="9"/>
  <c r="I40" i="9"/>
  <c r="J40" i="9" s="1"/>
  <c r="I32" i="9"/>
  <c r="J32" i="9" s="1"/>
  <c r="I24" i="9"/>
  <c r="J24" i="9" s="1"/>
  <c r="I16" i="9"/>
  <c r="J16" i="9" s="1"/>
  <c r="I12" i="9"/>
  <c r="J12" i="9" s="1"/>
  <c r="G10" i="9"/>
  <c r="J10" i="9" s="1"/>
  <c r="G78" i="9"/>
  <c r="J78" i="9" s="1"/>
  <c r="G74" i="9"/>
  <c r="J74" i="9" s="1"/>
  <c r="G70" i="9"/>
  <c r="J70" i="9" s="1"/>
  <c r="G66" i="9"/>
  <c r="J66" i="9" s="1"/>
  <c r="G62" i="9"/>
  <c r="J62" i="9" s="1"/>
  <c r="G58" i="9"/>
  <c r="G54" i="9"/>
  <c r="J54" i="9" s="1"/>
  <c r="G50" i="9"/>
  <c r="G46" i="9"/>
  <c r="J46" i="9" s="1"/>
  <c r="G42" i="9"/>
  <c r="G38" i="9"/>
  <c r="G34" i="9"/>
  <c r="J34" i="9" s="1"/>
  <c r="G30" i="9"/>
  <c r="J30" i="9" s="1"/>
  <c r="G26" i="9"/>
  <c r="G22" i="9"/>
  <c r="G18" i="9"/>
  <c r="J18" i="9" s="1"/>
  <c r="G14" i="9"/>
  <c r="J14" i="9" s="1"/>
  <c r="B31" i="2"/>
  <c r="B32" i="2" s="1"/>
  <c r="B33" i="2" s="1"/>
  <c r="B34" i="2" s="1"/>
  <c r="B36" i="2" s="1"/>
  <c r="B35" i="2" s="1"/>
  <c r="B37" i="2" s="1"/>
  <c r="B38" i="2" s="1"/>
  <c r="B30" i="2"/>
  <c r="I15" i="2"/>
  <c r="J15" i="2" s="1"/>
  <c r="J14" i="6"/>
  <c r="J15" i="6"/>
  <c r="J26" i="6"/>
  <c r="J22" i="6"/>
  <c r="J18" i="6"/>
  <c r="J10" i="6"/>
  <c r="J28" i="6"/>
  <c r="J24" i="6"/>
  <c r="J20" i="6"/>
  <c r="J16" i="6"/>
  <c r="J12" i="6"/>
  <c r="J9" i="5"/>
  <c r="J31" i="4"/>
  <c r="J27" i="4"/>
  <c r="J19" i="4"/>
  <c r="J15" i="4"/>
  <c r="J11" i="4"/>
  <c r="G28" i="3"/>
  <c r="J28" i="3" s="1"/>
  <c r="G20" i="3"/>
  <c r="J20" i="3" s="1"/>
  <c r="G27" i="3"/>
  <c r="J27" i="3" s="1"/>
  <c r="G19" i="3"/>
  <c r="J19" i="3" s="1"/>
  <c r="G30" i="1"/>
  <c r="J30" i="1" s="1"/>
  <c r="G22" i="1"/>
  <c r="J22" i="1" s="1"/>
  <c r="G14" i="1"/>
  <c r="J14" i="1" s="1"/>
  <c r="G11" i="1"/>
  <c r="J11" i="1" s="1"/>
  <c r="G34" i="1"/>
  <c r="J34" i="1" s="1"/>
  <c r="G26" i="1"/>
  <c r="J26" i="1" s="1"/>
  <c r="G18" i="1"/>
  <c r="J18" i="1" s="1"/>
  <c r="J64" i="10"/>
  <c r="G32" i="3"/>
  <c r="J32" i="3" s="1"/>
  <c r="I37" i="1"/>
  <c r="J37" i="1" s="1"/>
  <c r="G31" i="2"/>
  <c r="J31" i="2" s="1"/>
  <c r="G22" i="2"/>
  <c r="J22" i="2" s="1"/>
  <c r="G34" i="2"/>
  <c r="J34" i="2" s="1"/>
  <c r="G29" i="2"/>
  <c r="J29" i="2" s="1"/>
  <c r="G25" i="2"/>
  <c r="J25" i="2" s="1"/>
  <c r="G21" i="2"/>
  <c r="J21" i="2" s="1"/>
  <c r="G13" i="2"/>
  <c r="J13" i="2" s="1"/>
  <c r="I35" i="2"/>
  <c r="J35" i="2" s="1"/>
  <c r="I26" i="2"/>
  <c r="J26" i="2" s="1"/>
  <c r="I14" i="2"/>
  <c r="J14" i="2" s="1"/>
  <c r="G33" i="2"/>
  <c r="J33" i="2" s="1"/>
  <c r="G28" i="2"/>
  <c r="J28" i="2" s="1"/>
  <c r="G24" i="2"/>
  <c r="J24" i="2" s="1"/>
  <c r="G20" i="2"/>
  <c r="J20" i="2" s="1"/>
  <c r="G12" i="2"/>
  <c r="J12" i="2" s="1"/>
  <c r="J31" i="5"/>
  <c r="I10" i="12"/>
  <c r="J10" i="3"/>
  <c r="I30" i="3"/>
  <c r="J30" i="3" s="1"/>
  <c r="I22" i="3"/>
  <c r="J22" i="3" s="1"/>
  <c r="I18" i="3"/>
  <c r="J18" i="3" s="1"/>
  <c r="I14" i="3"/>
  <c r="J14" i="3" s="1"/>
  <c r="I29" i="3"/>
  <c r="J29" i="3" s="1"/>
  <c r="I25" i="3"/>
  <c r="J25" i="3" s="1"/>
  <c r="I17" i="3"/>
  <c r="J17" i="3" s="1"/>
  <c r="G26" i="3"/>
  <c r="J26" i="3" s="1"/>
  <c r="I9" i="3"/>
  <c r="J9" i="3" s="1"/>
  <c r="I21" i="3"/>
  <c r="J21" i="3" s="1"/>
  <c r="J11" i="3"/>
  <c r="I27" i="7"/>
  <c r="G27" i="7"/>
  <c r="I30" i="7"/>
  <c r="J30" i="7" s="1"/>
  <c r="I25" i="7"/>
  <c r="G25" i="7"/>
  <c r="I28" i="7"/>
  <c r="G28" i="7"/>
  <c r="I29" i="7"/>
  <c r="G29" i="7"/>
  <c r="G13" i="7"/>
  <c r="J13" i="7" s="1"/>
  <c r="G19" i="7"/>
  <c r="J19" i="7" s="1"/>
  <c r="I9" i="7"/>
  <c r="J9" i="7" s="1"/>
  <c r="I10" i="7"/>
  <c r="J10" i="7" s="1"/>
  <c r="G23" i="7"/>
  <c r="J23" i="7" s="1"/>
  <c r="G18" i="7"/>
  <c r="J18" i="7" s="1"/>
  <c r="G12" i="7"/>
  <c r="G22" i="7"/>
  <c r="J22" i="7" s="1"/>
  <c r="G17" i="7"/>
  <c r="J17" i="7" s="1"/>
  <c r="G11" i="7"/>
  <c r="J11" i="7" s="1"/>
  <c r="I15" i="7"/>
  <c r="J15" i="7" s="1"/>
  <c r="J25" i="7"/>
  <c r="G21" i="7"/>
  <c r="J21" i="7" s="1"/>
  <c r="J39" i="10"/>
  <c r="J63" i="10"/>
  <c r="J43" i="10"/>
  <c r="J26" i="9"/>
  <c r="J22" i="9"/>
  <c r="J33" i="6"/>
  <c r="J29" i="6"/>
  <c r="J25" i="6"/>
  <c r="J21" i="6"/>
  <c r="J17" i="6"/>
  <c r="J13" i="6"/>
  <c r="J33" i="5"/>
  <c r="J29" i="5"/>
  <c r="J21" i="5"/>
  <c r="J17" i="5"/>
  <c r="J13" i="5"/>
  <c r="J37" i="4"/>
  <c r="J33" i="4"/>
  <c r="J29" i="4"/>
  <c r="J25" i="4"/>
  <c r="J21" i="4"/>
  <c r="J17" i="4"/>
  <c r="J13" i="4"/>
  <c r="J31" i="3"/>
  <c r="J23" i="3"/>
  <c r="J15" i="3"/>
  <c r="J35" i="1"/>
  <c r="J31" i="1"/>
  <c r="J27" i="1"/>
  <c r="J23" i="1"/>
  <c r="J19" i="1"/>
  <c r="J15" i="1"/>
  <c r="J13" i="10"/>
  <c r="J20" i="10"/>
  <c r="J59" i="10"/>
  <c r="J36" i="10"/>
  <c r="J12" i="10"/>
  <c r="J23" i="10"/>
  <c r="J27" i="10"/>
  <c r="J33" i="10"/>
  <c r="J45" i="10"/>
  <c r="J52" i="10"/>
  <c r="J12" i="7"/>
  <c r="J40" i="4"/>
  <c r="J16" i="3"/>
  <c r="J24" i="3"/>
  <c r="J17" i="2"/>
  <c r="J32" i="2"/>
  <c r="J12" i="1"/>
  <c r="J16" i="1"/>
  <c r="J20" i="1"/>
  <c r="J24" i="1"/>
  <c r="J28" i="1"/>
  <c r="J32" i="1"/>
  <c r="J36" i="1"/>
  <c r="J15" i="10"/>
  <c r="J47" i="10"/>
  <c r="J14" i="10"/>
  <c r="J19" i="10"/>
  <c r="J21" i="10"/>
  <c r="J30" i="10"/>
  <c r="J35" i="10"/>
  <c r="J37" i="10"/>
  <c r="J51" i="10"/>
  <c r="J62" i="10"/>
  <c r="J31" i="10"/>
  <c r="J18" i="10"/>
  <c r="J25" i="10"/>
  <c r="J34" i="10"/>
  <c r="J41" i="10"/>
  <c r="J50" i="10"/>
  <c r="J55" i="10"/>
  <c r="J57" i="10"/>
  <c r="J11" i="9"/>
  <c r="J13" i="9"/>
  <c r="J15" i="9"/>
  <c r="J17" i="9"/>
  <c r="J19" i="9"/>
  <c r="J21" i="9"/>
  <c r="J25" i="9"/>
  <c r="J27" i="9"/>
  <c r="J36" i="9"/>
  <c r="J38" i="9"/>
  <c r="J42" i="9"/>
  <c r="J48" i="9"/>
  <c r="J50" i="9"/>
  <c r="J56" i="9"/>
  <c r="J58" i="9"/>
  <c r="J68" i="9"/>
  <c r="J9" i="2"/>
  <c r="J10" i="2"/>
  <c r="J16" i="2"/>
  <c r="J18" i="2"/>
  <c r="J38" i="2"/>
  <c r="J37" i="2"/>
  <c r="J19" i="2"/>
  <c r="J23" i="2"/>
  <c r="J27" i="2"/>
  <c r="J10" i="12"/>
  <c r="J17" i="12" s="1"/>
  <c r="J10" i="15"/>
  <c r="B52" i="11"/>
  <c r="B53" i="11" s="1"/>
  <c r="B54" i="11" s="1"/>
  <c r="B55" i="11" s="1"/>
  <c r="B56" i="11" s="1"/>
  <c r="B57" i="11" s="1"/>
  <c r="J11" i="2"/>
  <c r="J29" i="7" l="1"/>
  <c r="J27" i="7"/>
  <c r="J35" i="3"/>
  <c r="J28" i="7"/>
  <c r="J66" i="10"/>
  <c r="J68" i="10" s="1"/>
  <c r="J43" i="4"/>
  <c r="E13" i="13" s="1"/>
  <c r="J36" i="6"/>
  <c r="E15" i="13" s="1"/>
  <c r="E35" i="13"/>
  <c r="J35" i="5"/>
  <c r="E14" i="13" s="1"/>
  <c r="J81" i="9"/>
  <c r="E18" i="13" s="1"/>
  <c r="J33" i="7"/>
  <c r="E16" i="13" s="1"/>
  <c r="E20" i="13"/>
  <c r="J40" i="1"/>
  <c r="E10" i="13" s="1"/>
  <c r="J40" i="2"/>
  <c r="E11" i="13" s="1"/>
  <c r="J27" i="15"/>
  <c r="E21" i="13" s="1"/>
  <c r="AD10" i="17" l="1"/>
  <c r="G10" i="17"/>
  <c r="X10" i="17"/>
  <c r="E10" i="17"/>
  <c r="AF10" i="17"/>
  <c r="R10" i="17"/>
  <c r="M10" i="17"/>
  <c r="K10" i="17"/>
  <c r="AB10" i="17"/>
  <c r="I10" i="17"/>
  <c r="O10" i="17"/>
  <c r="V10" i="17"/>
  <c r="Z10" i="17"/>
  <c r="T10" i="17"/>
  <c r="AI10" i="17"/>
  <c r="J20" i="12"/>
  <c r="J22" i="12" s="1"/>
  <c r="J46" i="4"/>
  <c r="J48" i="4" s="1"/>
  <c r="J45" i="4"/>
  <c r="J44" i="4"/>
  <c r="J39" i="6"/>
  <c r="J41" i="6" s="1"/>
  <c r="J37" i="6"/>
  <c r="J38" i="6"/>
  <c r="J38" i="5"/>
  <c r="J40" i="5" s="1"/>
  <c r="J37" i="5"/>
  <c r="J36" i="5"/>
  <c r="E37" i="13"/>
  <c r="E39" i="13" s="1"/>
  <c r="J69" i="10"/>
  <c r="J71" i="10" s="1"/>
  <c r="J67" i="10"/>
  <c r="E19" i="13"/>
  <c r="J37" i="3"/>
  <c r="E12" i="13"/>
  <c r="AK6" i="17" s="1"/>
  <c r="J36" i="3"/>
  <c r="J42" i="1"/>
  <c r="J35" i="7"/>
  <c r="J36" i="7"/>
  <c r="J38" i="7" s="1"/>
  <c r="J19" i="12"/>
  <c r="J18" i="12"/>
  <c r="J61" i="11"/>
  <c r="J60" i="11"/>
  <c r="J62" i="11"/>
  <c r="J64" i="11" s="1"/>
  <c r="J83" i="9"/>
  <c r="J84" i="9"/>
  <c r="J86" i="9" s="1"/>
  <c r="J82" i="9"/>
  <c r="J34" i="7"/>
  <c r="J38" i="3"/>
  <c r="J40" i="3" s="1"/>
  <c r="J41" i="1"/>
  <c r="J43" i="1"/>
  <c r="J45" i="1" s="1"/>
  <c r="J30" i="15"/>
  <c r="J32" i="15" s="1"/>
  <c r="J29" i="15"/>
  <c r="J28" i="15"/>
  <c r="J42" i="2"/>
  <c r="J43" i="2"/>
  <c r="J45" i="2" s="1"/>
  <c r="J41" i="2"/>
  <c r="Z6" i="17" l="1"/>
  <c r="Z17" i="17" s="1"/>
  <c r="Z20" i="17" s="1"/>
  <c r="Z22" i="17" s="1"/>
  <c r="AI6" i="17"/>
  <c r="AK24" i="17" s="1"/>
  <c r="G6" i="17"/>
  <c r="G17" i="17" s="1"/>
  <c r="V6" i="17"/>
  <c r="V17" i="17" s="1"/>
  <c r="V19" i="17" s="1"/>
  <c r="E6" i="17"/>
  <c r="E17" i="17" s="1"/>
  <c r="AB6" i="17"/>
  <c r="AB17" i="17" s="1"/>
  <c r="O6" i="17"/>
  <c r="O17" i="17" s="1"/>
  <c r="AD6" i="17"/>
  <c r="AD17" i="17" s="1"/>
  <c r="AF6" i="17"/>
  <c r="AF17" i="17" s="1"/>
  <c r="I6" i="17"/>
  <c r="I17" i="17" s="1"/>
  <c r="R6" i="17"/>
  <c r="R17" i="17" s="1"/>
  <c r="X6" i="17"/>
  <c r="X17" i="17" s="1"/>
  <c r="X20" i="17" s="1"/>
  <c r="X22" i="17" s="1"/>
  <c r="T6" i="17"/>
  <c r="T17" i="17" s="1"/>
  <c r="T19" i="17" s="1"/>
  <c r="K6" i="17"/>
  <c r="K17" i="17" s="1"/>
  <c r="M6" i="17"/>
  <c r="M17" i="17" s="1"/>
  <c r="E23" i="13"/>
  <c r="E40" i="13"/>
  <c r="E42" i="13" s="1"/>
  <c r="J73" i="10"/>
  <c r="J24" i="12"/>
  <c r="J50" i="4"/>
  <c r="J43" i="6"/>
  <c r="J42" i="5"/>
  <c r="E38" i="13"/>
  <c r="J42" i="3"/>
  <c r="J66" i="11"/>
  <c r="J40" i="7"/>
  <c r="J34" i="15"/>
  <c r="J88" i="9"/>
  <c r="J47" i="2"/>
  <c r="J47" i="1"/>
  <c r="Z18" i="17" l="1"/>
  <c r="Z19" i="17"/>
  <c r="AI18" i="17"/>
  <c r="AD19" i="17"/>
  <c r="AD20" i="17"/>
  <c r="AD22" i="17" s="1"/>
  <c r="AD18" i="17"/>
  <c r="AF19" i="17"/>
  <c r="AF20" i="17"/>
  <c r="AF22" i="17" s="1"/>
  <c r="AF18" i="17"/>
  <c r="M18" i="17"/>
  <c r="M20" i="17"/>
  <c r="M22" i="17" s="1"/>
  <c r="M19" i="17"/>
  <c r="O18" i="17"/>
  <c r="O19" i="17"/>
  <c r="O20" i="17"/>
  <c r="O22" i="17" s="1"/>
  <c r="K20" i="17"/>
  <c r="K22" i="17" s="1"/>
  <c r="K19" i="17"/>
  <c r="K18" i="17"/>
  <c r="AB18" i="17"/>
  <c r="AB19" i="17"/>
  <c r="AB20" i="17"/>
  <c r="AB22" i="17" s="1"/>
  <c r="E20" i="17"/>
  <c r="E22" i="17" s="1"/>
  <c r="E18" i="17"/>
  <c r="AK25" i="17"/>
  <c r="AK17" i="17"/>
  <c r="E19" i="17"/>
  <c r="R18" i="17"/>
  <c r="R20" i="17"/>
  <c r="R22" i="17" s="1"/>
  <c r="R19" i="17"/>
  <c r="G20" i="17"/>
  <c r="G22" i="17" s="1"/>
  <c r="G19" i="17"/>
  <c r="G18" i="17"/>
  <c r="I19" i="17"/>
  <c r="V18" i="17"/>
  <c r="T20" i="17"/>
  <c r="T22" i="17" s="1"/>
  <c r="I18" i="17"/>
  <c r="T18" i="17"/>
  <c r="I20" i="17"/>
  <c r="I22" i="17" s="1"/>
  <c r="V20" i="17"/>
  <c r="V22" i="17" s="1"/>
  <c r="X18" i="17"/>
  <c r="X19" i="17"/>
  <c r="E41" i="13"/>
  <c r="E44" i="13" s="1"/>
  <c r="E25" i="13"/>
  <c r="E26" i="13"/>
  <c r="E24" i="13"/>
  <c r="Z21" i="17" l="1"/>
  <c r="Z24" i="17" s="1"/>
  <c r="AF21" i="17"/>
  <c r="AF24" i="17" s="1"/>
  <c r="AD21" i="17"/>
  <c r="AD24" i="17" s="1"/>
  <c r="AI20" i="17"/>
  <c r="AI22" i="17" s="1"/>
  <c r="R21" i="17"/>
  <c r="R24" i="17" s="1"/>
  <c r="V21" i="17"/>
  <c r="V24" i="17" s="1"/>
  <c r="E21" i="17"/>
  <c r="E24" i="17" s="1"/>
  <c r="AI19" i="17"/>
  <c r="K21" i="17"/>
  <c r="K24" i="17" s="1"/>
  <c r="X21" i="17"/>
  <c r="X24" i="17" s="1"/>
  <c r="O21" i="17"/>
  <c r="O24" i="17" s="1"/>
  <c r="G21" i="17"/>
  <c r="G24" i="17" s="1"/>
  <c r="T21" i="17"/>
  <c r="T24" i="17" s="1"/>
  <c r="I21" i="17"/>
  <c r="I24" i="17" s="1"/>
  <c r="AB21" i="17"/>
  <c r="AB24" i="17" s="1"/>
  <c r="M21" i="17"/>
  <c r="M24" i="17" s="1"/>
  <c r="E28" i="13"/>
  <c r="E27" i="13"/>
  <c r="AI21" i="17" l="1"/>
  <c r="AI24" i="17" s="1"/>
  <c r="E30" i="13"/>
</calcChain>
</file>

<file path=xl/sharedStrings.xml><?xml version="1.0" encoding="utf-8"?>
<sst xmlns="http://schemas.openxmlformats.org/spreadsheetml/2006/main" count="1995" uniqueCount="482">
  <si>
    <t>PROYECTO TRONCAL MAGDALENA 1</t>
  </si>
  <si>
    <t>TABLA DE CANTIDADES</t>
  </si>
  <si>
    <t>PRESUPUESTO  WUXY</t>
  </si>
  <si>
    <t>ítem</t>
  </si>
  <si>
    <t>ITS</t>
  </si>
  <si>
    <t>Unidad</t>
  </si>
  <si>
    <t>Cantidad</t>
  </si>
  <si>
    <t>SUMINISTRO</t>
  </si>
  <si>
    <t>INSTALACIÓN PUESTA EN FUNCIONAMIENTO Y PRUEBAS</t>
  </si>
  <si>
    <t>COSTO TOTAL</t>
  </si>
  <si>
    <t xml:space="preserve"> SISTEMA DE TELEFONÍA DE EMERGENCIA</t>
  </si>
  <si>
    <t>Costo unitario</t>
  </si>
  <si>
    <t>Total suministro</t>
  </si>
  <si>
    <t>Total Instalación</t>
  </si>
  <si>
    <t>TOTAL</t>
  </si>
  <si>
    <t>Col $</t>
  </si>
  <si>
    <t>Teléfono SOS, con gabinete IP65 sin ingreso de agua.  Incluye switch de puerta abierta.</t>
  </si>
  <si>
    <t>Un</t>
  </si>
  <si>
    <t xml:space="preserve">Licenciamiento SOS </t>
  </si>
  <si>
    <t>Estructura metálica poste de 6m, Gabinete IP65</t>
  </si>
  <si>
    <t>Corona antiescalatoria</t>
  </si>
  <si>
    <t>Cinturón(es) antivandálico(s) con candado(s)</t>
  </si>
  <si>
    <t>Señalización postes SOS, según manual de señalización vigente más (No.SOS x 2, Instrucciones de uso y rotulo en Braille)</t>
  </si>
  <si>
    <t>Cintas retrorreflectivas de color blanco 2x</t>
  </si>
  <si>
    <t>Paneles solares, indicar capacidad *</t>
  </si>
  <si>
    <t>Soporte metálico para paneles solares</t>
  </si>
  <si>
    <t>Baterías, indicar capacidad para autonomía de 72 horas</t>
  </si>
  <si>
    <t>Controlador para panel solar</t>
  </si>
  <si>
    <t>Gabinete IP 65, sin ingreso de agua, para baterías, tablero eléctrico protecciones eléctricas, (Termomagnéticas y sobretensión)  Incluye switch de puerta abierta, con accesorios de fijación y montaje.</t>
  </si>
  <si>
    <t>Sistema Puesta a Tierra SOS. (Incluye varilla(s), caja de inspección, Soldadura, tratamiento de suelo y medida)</t>
  </si>
  <si>
    <t>Cimentación Dado de  80x80x80 cm. Estos deben disponer de dos tubos de 3” para el ingreso del cableado y con un anclaje de 4 pernos de acero galvanizado a tierra de ¾" de diámetro, estos son usados para soporte y fijación de los postes SOS. **</t>
  </si>
  <si>
    <t>Placa de concreto que rodea la cimentación del poste de 1,50 m x 1,70 m, con 20 cm de espesor reforzada. Apta, desde la calzada, para el acceso personas con capacidad reducida, incluye obras civiles para  lograr el acceso (demolición, adecuaciones).  **</t>
  </si>
  <si>
    <t>Barandas de protección, 3 barandas, de 1,3 m ancho x 1,2 m de alto</t>
  </si>
  <si>
    <t>Caja para empalme de 8 puertos</t>
  </si>
  <si>
    <t>Patch Cord fibra óptica mono modo lc - lc</t>
  </si>
  <si>
    <t>Caja de empalme tipo botella (mufla) para F.O de 48 hilos con cierre térmico para uso subterráneo.</t>
  </si>
  <si>
    <t>Cajas para la Red Troncal, de paso o derivación, de 80X80X80, dimensiones internas</t>
  </si>
  <si>
    <t>Caja de reserva para micro cable de Fibra Óptica</t>
  </si>
  <si>
    <t>Pig Tail</t>
  </si>
  <si>
    <t>Cable de servicio de FO, 8 hilos y longitud promedio de 30 m, con características de calidad iguales o mejores a las del microducto de la troncal.</t>
  </si>
  <si>
    <t>Canalización y ducto Conduit de 1 y 1/2", entre la troncal de FO y el ITS, en longitud promedio de 30 m</t>
  </si>
  <si>
    <t>Fusiones</t>
  </si>
  <si>
    <t>Pequeño material de montaje</t>
  </si>
  <si>
    <t>Gbl</t>
  </si>
  <si>
    <t>Capacitación</t>
  </si>
  <si>
    <t>TOTAL COSTOS DIRECTOS</t>
  </si>
  <si>
    <t>ADMINISTRACION (A)</t>
  </si>
  <si>
    <t>IMPREVISTOS (I)</t>
  </si>
  <si>
    <t>UTILIDAD (U)</t>
  </si>
  <si>
    <t xml:space="preserve">SUBTOTAL COSTOS DIRECTOS + AIU </t>
  </si>
  <si>
    <t>IVA SOBRE LA UTILIDAD 19%</t>
  </si>
  <si>
    <t>TOTAL COSTO DIRECTO+AIU + IVA</t>
  </si>
  <si>
    <t>*</t>
  </si>
  <si>
    <t>**</t>
  </si>
  <si>
    <t xml:space="preserve"> ESTACIÓN METEOROLÓGICA</t>
  </si>
  <si>
    <t>Estación Meteorológica integrada</t>
  </si>
  <si>
    <t>Sensor de visibilidad</t>
  </si>
  <si>
    <t>Sensor de evapotranspiración potencial</t>
  </si>
  <si>
    <t>Gabinete de control, protección IP65 sin ingreso de agua, el tamaño se ajustará dependiendo de los equipos a instalar y demás condiciones técnicas, con tablero eléctrico, protecciones eléctricas (Termomagnéticas y sobretensión). Incluye switch de puerta abierta, con accesorios de fijación y montaje.</t>
  </si>
  <si>
    <t xml:space="preserve">Coraza liquid tight 3/4" </t>
  </si>
  <si>
    <t>Conector Recto coraza liquid tight 3/4" acero galvanizado</t>
  </si>
  <si>
    <t>Suministro e instalación Cable UTP CAT 6 certificado incluye ponchado y accesorios</t>
  </si>
  <si>
    <t xml:space="preserve"> PANEL DE MENSAJERÍA VARIABLE</t>
  </si>
  <si>
    <t xml:space="preserve"> Panel de Señalización Variable con 1 área grafica de 64x64 pixeles y 3 líneas con 12 caracteres cada una.</t>
  </si>
  <si>
    <t>Estructura metálica tipo pórtico visitable, según las normas técnicas de seguridad aplicables en Colombia.</t>
  </si>
  <si>
    <t>Cimentación  ( incluye estudio de suelos y diseño de cimentación para panel tipo pórtico)</t>
  </si>
  <si>
    <t>Gabinete de control, protección IP65 sin ingreso de agua, el tamaño se ajustará dependiendo de los equipos a instalar y demás condiciones técnicas, con tablero eléctrico, protecciones eléctricas (Termomagnéticas y sobretensión). Incluye switch de puerta abierta, con accesorios de fijación y montaje</t>
  </si>
  <si>
    <t>UPS con autonomía de 15 minutos para el panel 1G3L. Se utiliza como una medida de protección adicional para el panel.</t>
  </si>
  <si>
    <t>Cableado de energía eléctrica</t>
  </si>
  <si>
    <t>Puesta a tierra  (Incluye varilla(s), caja de inspección, Soldadura, tratamiento de suelo y medida)</t>
  </si>
  <si>
    <t>Pararrayos (incluye materiales)</t>
  </si>
  <si>
    <t>Materiales menores de montaje de Paneles y UPS</t>
  </si>
  <si>
    <t>Acometida AC, incluyendo el contador y la certificación RETIE, dimensionada con una reserva en potencia del 20% para el Switch, una cámara etc.</t>
  </si>
  <si>
    <t>Señalización de los postes y estructuras según Manual de Señalización vigente.</t>
  </si>
  <si>
    <t>Material de montaje</t>
  </si>
  <si>
    <t xml:space="preserve"> SISTEMA DE CONTROL DE ALTURA</t>
  </si>
  <si>
    <t>Fotocélulas Emisor Receptor Doble 2X</t>
  </si>
  <si>
    <t>Gabinete de control, protección IP65 sin ingreso de agua, el tamaño se ajustará dependiendo de los equipos a instalar y demás condiciones técnicas, con equipo de control, PLC, tablero eléctrico, protecciones eléctricas, (Termomagnéticas y sobretensión) incluye switch de puerta abierta, con accesorios de fijación y montaje</t>
  </si>
  <si>
    <t>Suministro e instalación de juego de espiras inductivas en pavimento incluye corte sobre pavimento, herramientas, materiales, equipo, mano de obra, restauración de cualquier estructura afectada como corona, cunetas entre otras, limpieza, remoción de escombros hasta el sitio de desechos, todo según especificaciones técnicas.</t>
  </si>
  <si>
    <t>Poste octogonal de 6 metros en acero galvanizado para gálibo electrónico 2X</t>
  </si>
  <si>
    <t>Cimentación para las columnas del gálibo electrónico 2X</t>
  </si>
  <si>
    <t>Juego de cámara de evidencias más cámara de identificación de placas, Incluye el software</t>
  </si>
  <si>
    <t>Poste octogonal de 6 metros en acero galvanizado para cámara de evidencias más cámara de identificación de placas</t>
  </si>
  <si>
    <t>Cimentación para el poste de cámara de evidencias más cámara de identificación de placas</t>
  </si>
  <si>
    <t>PMV señal exceso de altura (Señal oculta)</t>
  </si>
  <si>
    <t>Estructura metálica tipo horquilla para PMV (Señal oculta)</t>
  </si>
  <si>
    <t>Cimentación PMV (Señal oculta)</t>
  </si>
  <si>
    <t>Estructura metálica tipo pórtico - Galibo mecánico, con cadenas</t>
  </si>
  <si>
    <t>Cimentación estructura tipo pórtico, incluye análisis de suelos 2X</t>
  </si>
  <si>
    <t>Canalización entre señal oculta y gálibo electrónico aprox 80m</t>
  </si>
  <si>
    <t>Cableado de energía y ducto de 1 y 1/2" hasta la señal oculta 90m aprox</t>
  </si>
  <si>
    <t>Cableado UTP Cat 6 y ducto de 1 y 1/2"  hasta la señal oculta 90m aprox</t>
  </si>
  <si>
    <t>Paneles solares, indicar capacidad   *</t>
  </si>
  <si>
    <t>Baterías, indicar capacidad para autonomía de 48 horas</t>
  </si>
  <si>
    <t>ESTACIÓN TOMA DE DATOS</t>
  </si>
  <si>
    <t>Controlador Estación de Toma de Datos ETD</t>
  </si>
  <si>
    <t>Gabinete de control, protección IP65 sin ingreso de agua, el tamaño se ajustará dependiendo de los equipos a instalar y demás condiciones técnicas, con tablero eléctrico, protecciones eléctricas, (Termomagnéticas y sobretensión) incluye switch de puerta abierta, con accesorios de fijación y montaje</t>
  </si>
  <si>
    <t>Cámara para analítica de video, con su soporte</t>
  </si>
  <si>
    <t>Poste en concreto 14 m</t>
  </si>
  <si>
    <t xml:space="preserve">Cableado Energía </t>
  </si>
  <si>
    <t xml:space="preserve">Cableado Control </t>
  </si>
  <si>
    <t>Cable UTP Cat 6 Datos</t>
  </si>
  <si>
    <t>Señalización del poste según Manual de Señalización vigente</t>
  </si>
  <si>
    <t>Cable de servicio de FO, 8 hilos y longitud promedio de 40 m, con características de calidad iguales o mejores a las del microducto de la troncal.</t>
  </si>
  <si>
    <t xml:space="preserve"> SISTEMA DE CCTV</t>
  </si>
  <si>
    <t>Cámara PTZ Vía</t>
  </si>
  <si>
    <t>Soporte poste cámara</t>
  </si>
  <si>
    <t>Brazo extensión cámara</t>
  </si>
  <si>
    <t>Postes concreto CCTV de 14 m</t>
  </si>
  <si>
    <t>Cableado 3x12 Energía 3 m</t>
  </si>
  <si>
    <t>Cableado 5x16 Control 3 m</t>
  </si>
  <si>
    <t>FIBRA OPTICA Y COMUNICACIONES</t>
  </si>
  <si>
    <t>Switch Nivel 2 para comunicación, 8 puertos 10/100/1000 Base-T Rj45 cobre y puertos 100/1000 Base-X SFP slot, SFP auto detección</t>
  </si>
  <si>
    <t>Dispositivos de red de CCO, Switches de capa 3</t>
  </si>
  <si>
    <t>Dispositivos de red CORE, Switches de capa 3</t>
  </si>
  <si>
    <t>Conversores de medio</t>
  </si>
  <si>
    <t>Transceiver SFP Fibra Óptica 10 Km  1G, con conector LC.</t>
  </si>
  <si>
    <t>Transceiver SFP Fibra Óptica 10 Km 10G, con conector LC.</t>
  </si>
  <si>
    <t>Ingeniería de integración…. Gbl</t>
  </si>
  <si>
    <t>Software licenciado para gestión de la red de datos</t>
  </si>
  <si>
    <t>Estación de trabajo para el software de gestión</t>
  </si>
  <si>
    <t xml:space="preserve">Suministro, instalación y puesta en marcha de micro cable de fibra óptica monomodo, de 48 hilos  según las especificaciones, incluye la certificación. </t>
  </si>
  <si>
    <t>ml</t>
  </si>
  <si>
    <t>Caja de paso (registro) de dimensiones 0.8 x 0.8 x 0.8 m (longitud x anchura x profundidad), dimensiones internas, para la red troncal de FO, para los pasos direccionados o para pasos especiales (puentes).</t>
  </si>
  <si>
    <t>Suministro de y colocación de ducto de PVC-TDP de 3" de diámetro para pasos direccionados incluye excavación de cualquier material y profundidad, relleno, herramientas, materiales, equipo, mano de obra, restauración de cualquier estructura afectadas como corona, cunetas entre otras, limpieza, remoción de escombros hasta el sitio de desechos, todo según especificaciones técnicas.</t>
  </si>
  <si>
    <t>Uniones</t>
  </si>
  <si>
    <t>Tapones</t>
  </si>
  <si>
    <t>Cinta de advertencia (Rollo de longitud 300m)</t>
  </si>
  <si>
    <t>PEAJE</t>
  </si>
  <si>
    <t>Total de carriles</t>
  </si>
  <si>
    <t>Total vías Telepeaje</t>
  </si>
  <si>
    <t>EQUIPOS DE CARRIL</t>
  </si>
  <si>
    <t>TABLERO DE CONTROL</t>
  </si>
  <si>
    <t>Procesador core i5</t>
  </si>
  <si>
    <t>Sistema de Entradas y salidas</t>
  </si>
  <si>
    <t>Detector de presencia 2 canales</t>
  </si>
  <si>
    <t>EQUIPOS AL INTERIOR DE LA CABINA</t>
  </si>
  <si>
    <t>Pantalla táctil de 15´, con tiempo de respuesta de 25 msec, 1280 a 60 Hz</t>
  </si>
  <si>
    <t>Impresora de puerto serial</t>
  </si>
  <si>
    <t>Cámaras de cabina, Domo de base metálica, protección IP66. Resolución 1920 X 1080 Pixeles</t>
  </si>
  <si>
    <t xml:space="preserve">Lector de tarjeta sin contacto Mifare de Exentos y especiales </t>
  </si>
  <si>
    <t>Teléfono IP  VoIP con POE</t>
  </si>
  <si>
    <t>Cajón Monedero</t>
  </si>
  <si>
    <t>EQUIPOS EXTERIOR CARRIL</t>
  </si>
  <si>
    <t xml:space="preserve">Peanas Trapezoidales </t>
  </si>
  <si>
    <t>Separador óptico de vehículos. Chasis de ópticos, puerta en vidrio  para barrera emisora y barrera receptora. Incluye cableados. Para la salida.</t>
  </si>
  <si>
    <t>Talanquera de salida automática IP. Conjunto electromecánico, Operación fluida y silenciosa. Ancho de paso de 3 Mts,</t>
  </si>
  <si>
    <t>Foto celda reflectiva</t>
  </si>
  <si>
    <t>Display alfanumérico. Sistema integrado de visualización de tarifas y mensajería de vía al usuario.</t>
  </si>
  <si>
    <t>Baliza LED AMBAR 12 - 24V ,4" de diámetro incluye fuente. Incluido en poste de semáforo</t>
  </si>
  <si>
    <t>Sirena. SPL con intensidad mayor o igual a 100dB/1m. 110V. Incluido en poste de semáforo</t>
  </si>
  <si>
    <t>Poste metálico para semáforo, display y cámara de ejes</t>
  </si>
  <si>
    <t xml:space="preserve">Poste metálico para cámara de reconocimiento de placas LPR </t>
  </si>
  <si>
    <t>Semáforo de entrada: Cruz y flecha. Sistema integrado de señalización de apertura de vía comandado desde la consola del Operario con registro de funcionamiento en base de datos. Tecnología LED 600X600 mm en luz rojo Cruz y luz verde flecha. Incluye modulo IP.</t>
  </si>
  <si>
    <t>Semáforo intermitente</t>
  </si>
  <si>
    <t>Cámara de carril, con soporte.  Día / Noche a Color,VariFocal, Protección IP66.</t>
  </si>
  <si>
    <t xml:space="preserve">Cámaras para detección de placas </t>
  </si>
  <si>
    <t>Talanquera manual de entrada. Conjunto electromecánico, Operación fluida y silenciosa. Ancho de paso de 3 Mts,</t>
  </si>
  <si>
    <t>EQUIPOS CARRIL IPREV</t>
  </si>
  <si>
    <t>Lector RFID  Incluye: Antena, cableado y herraje</t>
  </si>
  <si>
    <t>Detector de presencia para Telepeaje</t>
  </si>
  <si>
    <t>Separador óptico de vehículos, doble. Chasis de ópticos, puerta en vidrio  para barrera emisora y barrera receptora. Incluye cableados. Para la entrada en carriles IPREV.</t>
  </si>
  <si>
    <t>Pórtico para antena de telepeaje</t>
  </si>
  <si>
    <t>EQUIPOS DE COMUNICACIÓN Y DATOS</t>
  </si>
  <si>
    <t>Rack de 19" para Equipos computacionales de 42 U</t>
  </si>
  <si>
    <t>ODF para 48 fibras</t>
  </si>
  <si>
    <t>Patch Panel</t>
  </si>
  <si>
    <t xml:space="preserve">NAS (Network-Attached Storage) Special Video security grade Hard Drive 8 TB </t>
  </si>
  <si>
    <t>Sistema de grabación de video NVR Apoyo LX 1U, RAM 4Gb, 4 Hot swap Storage Bays, 4TB UP 6TB,</t>
  </si>
  <si>
    <t>Equipos de computo</t>
  </si>
  <si>
    <t>SERVIDOR  MEMORIA 16GB RAID 1 + FUENTE DE PODER REDUNDANTE</t>
  </si>
  <si>
    <t>PC de informes</t>
  </si>
  <si>
    <t>Impresora de informes</t>
  </si>
  <si>
    <t>Instalación</t>
  </si>
  <si>
    <t>Cableado datos y energía, Cables CAT6, alimentación 4X18, 2X18 y 3X18 para periféricos carriles. cableado oficina recaudo y equipos.</t>
  </si>
  <si>
    <t>SOFTWARE Y LICENCIAS</t>
  </si>
  <si>
    <t>Software de carril</t>
  </si>
  <si>
    <t>Licencia Software Vial de carril</t>
  </si>
  <si>
    <t>Licencia Software de Telepeaje incluido en licencia software de carril según Resolución 35125</t>
  </si>
  <si>
    <t>Software de estación</t>
  </si>
  <si>
    <t>Licencia Software web de estación (1 por estación)</t>
  </si>
  <si>
    <t>Licencia Software web de estación (1 por estación) IP/REV según resolución 35125</t>
  </si>
  <si>
    <t>Licencia Base de datos</t>
  </si>
  <si>
    <t>Licencia Antivirus -( carriles + Pc informes)</t>
  </si>
  <si>
    <t>Suministro, instalación y puesta en marcha de Switch Nivel 3 para comunicación, 48 puertos 10/100/1000 Base-T, Ethernet 10/100/1000 Mbps, Gethernet, puertos SFP+ de 1Gbit/s embebidos en el chasis, incluye redundancia</t>
  </si>
  <si>
    <t>Suministro, instalación y puesta en marcha de Switch Nivel 2 para comunicación, 16 puertos 10/100/1000 Base-T, Ethernet 10/100/1000 Mbps, Gethernet, puertos SFP+ de 1Gbit/s embebidos en el chasis, incluye redundancia</t>
  </si>
  <si>
    <t>Transceiver SFP Fibra Óptica  max 80 Km 10G, LC conector LC.</t>
  </si>
  <si>
    <t>UPS bifásica de 20KVA, con autonomía de 30 minutos</t>
  </si>
  <si>
    <t>EQUIPOS PARA EL CCO (COP)</t>
  </si>
  <si>
    <t>Servidor de aplicación de datos</t>
  </si>
  <si>
    <t>PC multifunción</t>
  </si>
  <si>
    <t>Pantalla de 21", de alta resolución</t>
  </si>
  <si>
    <t>Impresora Reportes</t>
  </si>
  <si>
    <t>Mobiliario para puesto de operador: Mesa + Silla</t>
  </si>
  <si>
    <t>Mobiliario para la impresora</t>
  </si>
  <si>
    <t>Licencia COP</t>
  </si>
  <si>
    <t>Puesta en Marcha
Soporte técnico</t>
  </si>
  <si>
    <t>Glb</t>
  </si>
  <si>
    <t>BÁSCULA DINÁMICA</t>
  </si>
  <si>
    <t>Plataforma fija de preselección (2X)</t>
  </si>
  <si>
    <t>Gabinete de Bifurcación</t>
  </si>
  <si>
    <t>Gabinete de Control de Selección WIM</t>
  </si>
  <si>
    <t>Cortina Óptica infrarroja</t>
  </si>
  <si>
    <t>Semáforo Cruz / Flecha, tipo led, hacia báscula estática</t>
  </si>
  <si>
    <t>Semáforo Cruz / Flecha, tipo led, de retorno a vía principal</t>
  </si>
  <si>
    <t>Poste tipo T o Pórtico</t>
  </si>
  <si>
    <t>Cámara de reconocimiento de placas para evadidos, 1 por carril (en vía Principal)</t>
  </si>
  <si>
    <t>Cámara de imágenes para evadidos, 1 por carril (en vía principal)</t>
  </si>
  <si>
    <t>Pareja de postes de 6 m o pórtico para cámaras de evadidos</t>
  </si>
  <si>
    <t>Cámara de Reconocimiento de Placas en Zona de Pesaje Dinámico</t>
  </si>
  <si>
    <t>Cámara de evidencia de fugados</t>
  </si>
  <si>
    <t>Poste multifuncional</t>
  </si>
  <si>
    <t>Conjuntos de detectores de loops</t>
  </si>
  <si>
    <t>Juego de Peanas detección doble rueda</t>
  </si>
  <si>
    <t xml:space="preserve">Computador para Software de Báscula Dinámica </t>
  </si>
  <si>
    <t>Licencia Software de Pesaje – clasificación</t>
  </si>
  <si>
    <t>Servicio de instalación General, pruebas y entrega a la interventoría</t>
  </si>
  <si>
    <t>BÁSCULA ESTÁTICA</t>
  </si>
  <si>
    <t>Báscula camionera digital  multiplataforma incluye la certificación, con 4 plataformas independientes de tal manera que sirven para hacer un pesaje por grupo de ejes y peso total. La longitud total de la báscula es de 21 m, con un ancho libre de 3,4 m sin considerar los bordillos. Se incluye el concreto requerido para las plataformas de la báscula estática.</t>
  </si>
  <si>
    <t>Celdas de carga</t>
  </si>
  <si>
    <t>Juego de tarjetas de unión digitales</t>
  </si>
  <si>
    <t>Indicador de peso multicanal</t>
  </si>
  <si>
    <t>Computador Servidor de Respaldo</t>
  </si>
  <si>
    <t xml:space="preserve">Computador para Software de Báscula Estática </t>
  </si>
  <si>
    <t>Software para báscula estática</t>
  </si>
  <si>
    <t>1 Semáforo tipo led.</t>
  </si>
  <si>
    <t>1 Poste multifuncional</t>
  </si>
  <si>
    <t>Talanqueras (Entrada + Salida)</t>
  </si>
  <si>
    <t>Gabinete de control</t>
  </si>
  <si>
    <t>Sistema de Categorización post pesaje</t>
  </si>
  <si>
    <t>Loop de entrada a la báscula</t>
  </si>
  <si>
    <t>Loop de post categorización</t>
  </si>
  <si>
    <t>Juego de sensor fotoeléctrico</t>
  </si>
  <si>
    <t xml:space="preserve">Cámara perimetral de entrada </t>
  </si>
  <si>
    <t>Cámara perimetral de salida</t>
  </si>
  <si>
    <t>Grabador digital DVR</t>
  </si>
  <si>
    <t>Cámara para reconocimiento de placas LPR</t>
  </si>
  <si>
    <t>Intercomunicador, con su gabinete</t>
  </si>
  <si>
    <t>Impresora de tiquetes de peso</t>
  </si>
  <si>
    <t>Semáforo de salida</t>
  </si>
  <si>
    <t>Display alfanumérico, color ámbar</t>
  </si>
  <si>
    <t>PLC de post categorización</t>
  </si>
  <si>
    <t>UPS de 10 KW</t>
  </si>
  <si>
    <t>Cámara PTZ para vigilancia</t>
  </si>
  <si>
    <t>Poste de concreto de 14 m</t>
  </si>
  <si>
    <t>Suministro, instalación y puesta en marcha de Switch Nivel 3 para comunicación, 48 puertos 10/100/1000 Base-T, Ethernet 10/100/1000 Mbps, Gethernet, puertos SFP+ de 1Gbit/s embebidos en el chasis</t>
  </si>
  <si>
    <t>Suministro, instalación y puesta en marcha de Switch Nivel 2 para comunicación, 16 puertos 10/100/1000 Base-T, Ethernet 10/100/1000 Mbps, Gethernet, puertos SFP+ de 1Gbit/s embebidos en el chasis</t>
  </si>
  <si>
    <t>Transceiver SFP Fibra Óptica  max 80 Km 10G, con conector LC.</t>
  </si>
  <si>
    <t>RADIO COMUNICACIONES</t>
  </si>
  <si>
    <t>Repetidor  vhf 50w, capacidad de canal: 64, ciclo de operación 100%</t>
  </si>
  <si>
    <t>Licencia de conexión ip site</t>
  </si>
  <si>
    <t>Licencia ras</t>
  </si>
  <si>
    <t>Duplexer vhf</t>
  </si>
  <si>
    <t>Cable heliax negro de 1/2</t>
  </si>
  <si>
    <t xml:space="preserve">Protector de línea </t>
  </si>
  <si>
    <t>Antena  4 dipolos vhf</t>
  </si>
  <si>
    <t xml:space="preserve">Fuente cargadora  35a para rack </t>
  </si>
  <si>
    <t>Grounding kit de 1/2</t>
  </si>
  <si>
    <t>Hanger kit de 1/2</t>
  </si>
  <si>
    <t>Hanger adapter de 1/2  torre ángulo</t>
  </si>
  <si>
    <t>Cable  tipo rg8 / 8237</t>
  </si>
  <si>
    <t>Conector bnc para rg8</t>
  </si>
  <si>
    <t>N macho para rg8</t>
  </si>
  <si>
    <t>Conectores n macho (ug21) para cable de 1/2</t>
  </si>
  <si>
    <t>Cable dc para repetidor</t>
  </si>
  <si>
    <t>Cable rojo #10 para batería</t>
  </si>
  <si>
    <t>Cable negro #10 para batería</t>
  </si>
  <si>
    <t>Cable amarillo-verde  (siete hilos) para tierras</t>
  </si>
  <si>
    <t>Terminales de ojo para cable tierras</t>
  </si>
  <si>
    <t>Terminales de ojo para cable batería</t>
  </si>
  <si>
    <t>Brazos sujeción x 2</t>
  </si>
  <si>
    <t xml:space="preserve">Cinta auto fundente </t>
  </si>
  <si>
    <t xml:space="preserve">Cinta aislante </t>
  </si>
  <si>
    <t>Amarres plásticos 30cms x 100 un - paquete</t>
  </si>
  <si>
    <t>Batería de libre mantenimiento 12v 100amperios</t>
  </si>
  <si>
    <t>Marquillado para equipos x 1 paquete 15 marquillas en PVC</t>
  </si>
  <si>
    <t>Gabinete de piso fabricom formato 19" 34ur</t>
  </si>
  <si>
    <t xml:space="preserve">Bandejas para rack de  19" </t>
  </si>
  <si>
    <t>Multitoma  para rack  5 tomas</t>
  </si>
  <si>
    <t xml:space="preserve">Tuercas para rack paqx50 un </t>
  </si>
  <si>
    <t>Inversor para soporte enlaces</t>
  </si>
  <si>
    <t xml:space="preserve">Pacht Cord cat 6a </t>
  </si>
  <si>
    <t>Servicio ip publica para rpt maestro para monitoreo remoto  - mensual</t>
  </si>
  <si>
    <t xml:space="preserve">Casetas para equipos de 2,5x2,5 m, con sistema de tierras y bandejas de transporte para líneas de antena, barrajes para tierra, pasa muros. </t>
  </si>
  <si>
    <t>Torre riendada de 35 mts en predio de la concesión vial, con sistema de puesta a tierras / para rayos/ luces de construcción</t>
  </si>
  <si>
    <t xml:space="preserve">Encerramiento de 22x22 m para sistema caseta de equipo y torre. </t>
  </si>
  <si>
    <t>INSTALACIÓN Y CONFIGURACIÓN DEL SISTEMA</t>
  </si>
  <si>
    <t>Configuración del sistema completo</t>
  </si>
  <si>
    <t>RADIOS PORTÁTILES Y BASE / MÓVILES</t>
  </si>
  <si>
    <t>Radio portátil digital vhf 1000 ch con gps, pantalla a color y teclado - bluetooth</t>
  </si>
  <si>
    <t>Radio móvil digital  vhf 45w pantalla alfanumérica a color - bluetooth - 1000ch</t>
  </si>
  <si>
    <t>CCO</t>
  </si>
  <si>
    <t>Servidores</t>
  </si>
  <si>
    <t>Cabina de almacenamiento</t>
  </si>
  <si>
    <t>Servidor de Backups ITS</t>
  </si>
  <si>
    <t>Servidor de cronometría</t>
  </si>
  <si>
    <t>KVM</t>
  </si>
  <si>
    <t>Licenciamiento</t>
  </si>
  <si>
    <t>Aclarar separadamente cada una de las licencias, la forma de calculo, si es por Tags u otra forma, duración etc. El valor allí obtenido se trae a esta línea de licenciamiento.</t>
  </si>
  <si>
    <t>Servidor grabación de video para las cámaras PTZ, con capacidad de hasta 50 TB, con sus licencias.</t>
  </si>
  <si>
    <t>Software para el Sistema de Gestión de Video VMS con licencias para 70 cámaras PTZ</t>
  </si>
  <si>
    <t>Puesto de trabajo para alojar el VMS</t>
  </si>
  <si>
    <t>Joystick</t>
  </si>
  <si>
    <t>Suministro, instalación y puesta en marcha de VideoWall basado en tecnología LCD, arreglo de pantallas del tipo 4x2, con pantallas de 70", resolución Full HD (1920 x 1080 pixeles).</t>
  </si>
  <si>
    <t>Controlador para el Video Wall incluye licencias</t>
  </si>
  <si>
    <t>Monitor de 55", de alta resolución, - sala de crisis.</t>
  </si>
  <si>
    <t>Puestos de operador + Jefe de ITS</t>
  </si>
  <si>
    <t>Pantallas de 21", de alta resolución: Operadores + KVM</t>
  </si>
  <si>
    <t>Mobiliario para puestos de operador, KVM y SOS: Mesa + Silla</t>
  </si>
  <si>
    <t xml:space="preserve">Impresora a color </t>
  </si>
  <si>
    <t>PC Portátil con características de trabajo pesado, para utilizarlo como escritorio remoto</t>
  </si>
  <si>
    <t>Software y licencia SCADA para PC portátil</t>
  </si>
  <si>
    <t>Suministro, instalación y puesta en marcha de Firewall</t>
  </si>
  <si>
    <t>Servidor SOS</t>
  </si>
  <si>
    <t>Estación de operador SOS</t>
  </si>
  <si>
    <t>Central IP</t>
  </si>
  <si>
    <t>Consola para central IP, incluyendo 4 diademas para operador</t>
  </si>
  <si>
    <t>Teléfonos IP</t>
  </si>
  <si>
    <t xml:space="preserve">Cable UTP Cat 6 </t>
  </si>
  <si>
    <t>Gateway GSM de 4 vías</t>
  </si>
  <si>
    <t>UN</t>
  </si>
  <si>
    <t>Tubería IMC ¾”</t>
  </si>
  <si>
    <t xml:space="preserve">Cableado 3x10 Energía </t>
  </si>
  <si>
    <t>Tablero de energía con  interruptores monopolares</t>
  </si>
  <si>
    <t>Aire acondicionado</t>
  </si>
  <si>
    <t>Cableado Energía Aire acondicionado</t>
  </si>
  <si>
    <t>Material de instalación, incluye canaletas etc.</t>
  </si>
  <si>
    <t>Integración de todos los subsistemas al SCADA y pruebas</t>
  </si>
  <si>
    <t>Canalización y ducto Conduit de 1 y 1/2", entre la troncal de FO y el CCO, en longitud promedio de 30 m</t>
  </si>
  <si>
    <t>PASO ELEVADO FIBRA OPTICA</t>
  </si>
  <si>
    <t>Suministro Fibra Óptica aérea 48 Hilos Spam 300, incluye reserva</t>
  </si>
  <si>
    <t>KIT HERRAJERIA PARA FIBRA 48 HILOS
SPAM 600, COMPUESTO POR:
*Hilos de blindaje largo 1.80mtrs
* Herraje de retención largo 1.40mtrs
*Brazo extensor
*Tuerca de ojo
*Clevis
* Atenuador de efecto eólico tipo Corona Coil
*Cinta bandit-Hebillas</t>
  </si>
  <si>
    <t xml:space="preserve">Adosamiento Tubería Bajantes postes 6mt cada una </t>
  </si>
  <si>
    <t>Postes concreto de 14 m</t>
  </si>
  <si>
    <t>SISTEMA DE TELEFONÍA DE EMERGENCIA</t>
  </si>
  <si>
    <t>ESTACIÓN METEOROLÓGICA</t>
  </si>
  <si>
    <t>PANEL DE MENSAJERÍA VARIABLE</t>
  </si>
  <si>
    <t>SISTEMA DE CONTROL DE ALTURA</t>
  </si>
  <si>
    <t>SISTEMA DE CCTV</t>
  </si>
  <si>
    <t>El presupuesto de la solución solar incluye la totalidad de la solución</t>
  </si>
  <si>
    <t>Estudio de propagación</t>
  </si>
  <si>
    <r>
      <t>Suministro y colocación de Tritubos de Polietileno de alta densidad reforzado para instalaciones de comunicación troncal de fibra óptica en micro zanjado, microducto d</t>
    </r>
    <r>
      <rPr>
        <sz val="10"/>
        <rFont val="Arial"/>
        <family val="2"/>
      </rPr>
      <t>e 10/8mm de</t>
    </r>
    <r>
      <rPr>
        <sz val="10"/>
        <color indexed="8"/>
        <rFont val="Arial"/>
        <family val="2"/>
      </rPr>
      <t xml:space="preserve"> diámetro exterior e interior respectivamente, con interior prelubricado, incluye: conexiones, excavación de cualquier material y profundidad, relleno, herramientas, materiales, equipo, mano de obra, restauración de cualquier estructuras afectadas como corona, cunetas entre otras, limpieza, remoción de escombros hasta el sitio de desechos, todo según especificaciones técnicas.</t>
    </r>
  </si>
  <si>
    <t>Control de Accesos (Equipos que reciben la información desde los peajes y la integran al SCADA)</t>
  </si>
  <si>
    <t>CONTROL DE ACCESOS EN PEAJE</t>
  </si>
  <si>
    <t>CONTROL DE ACCESOS</t>
  </si>
  <si>
    <t>Tarjetas de control de accesos (1326)</t>
  </si>
  <si>
    <t>Canastilla 10X5 (Charofil)</t>
  </si>
  <si>
    <t>Tubería EMT 1" (Colmena)</t>
  </si>
  <si>
    <t>Tubería EMT 3/4 (Colmena)</t>
  </si>
  <si>
    <t>Cable UTP Cat. 6 (Siemon)</t>
  </si>
  <si>
    <t>Cable Duplex 2X18 (Centelsa)</t>
  </si>
  <si>
    <t xml:space="preserve">Electroimán Rectangular 600 LBS, Incluye Soporte L/Z, Antiremanente </t>
  </si>
  <si>
    <t xml:space="preserve">Electroimán Rectangular 400 LBS, Incluye Soporte L/Z, Antiremanente </t>
  </si>
  <si>
    <t>Lectora de tarjetas tipo proximidad. iCLASS  Contactless Smart Card Reader, Mini-Mullion. multiCLASS</t>
  </si>
  <si>
    <t xml:space="preserve">Pulsador de salida sin contacto. Botón Verde </t>
  </si>
  <si>
    <t xml:space="preserve">Contacto Magnético Liviano Puerta/Ventana </t>
  </si>
  <si>
    <t>Controladora de accesos para 4 puertas. 4 Door Expansion Kit. Includes: • four door controller, IP ready, •accessory kit, •Metal cabinet w/ lock  transformer, wire-in, 110 VAC/ 16.5 VAC (75 VA), UL approved</t>
  </si>
  <si>
    <t xml:space="preserve">Controladora de accesos para 2 puertas, Two door controller, 128KB memory, accessory kit, metal cabinet  w/ lock </t>
  </si>
  <si>
    <t xml:space="preserve">Tarjeta expansora para señales de puertas no controladas </t>
  </si>
  <si>
    <t>EntraPass Corporate Edition license only, includes: one server workstation and 2 additional workstations license, one gateway license and one EntraPass WEB license. One year of updates included. Email delivery.</t>
  </si>
  <si>
    <t>Programación, pruebas, capacitación y documentación del sistema</t>
  </si>
  <si>
    <t>UNIDADES FUNCIONALES      TOTAL  0 - 13</t>
  </si>
  <si>
    <t>PASOS ELEVADOS FIBRA OPTICA</t>
  </si>
  <si>
    <t>PESAJE Básculas sentido Sur y Norte</t>
  </si>
  <si>
    <t>Transceiver SFP Fibra Óptica  max 80 Km 10G, co conector LC.</t>
  </si>
  <si>
    <t>Estructura metálica tipo Banderola</t>
  </si>
  <si>
    <t>Cimentación  ( incluye estudio de suelos y diseño de cimentación para panel tipo banderola)</t>
  </si>
  <si>
    <t>PESAJE</t>
  </si>
  <si>
    <t>BÁSCULAS DINAMICAS EN ZONA DE PEAJE</t>
  </si>
  <si>
    <t>Licencia Software de Pesaje – Integración con el carril de peaje</t>
  </si>
  <si>
    <t>Retiro y disposición adecuada de las estructuras metálicas y/o de concreto de los antiguos postes SOS existentes y disposición en sitios apropiados y con certificación en ZODME.</t>
  </si>
  <si>
    <t>Retiro y disposición adecuada de las estructuras metálicas y/o de concreto del PMV existente, dispuestos en sitios apropiados y con certificación en ZODME.</t>
  </si>
  <si>
    <t>Paneles solares, indicar capacidad, no se requiere, se hará uso de la energía AC</t>
  </si>
  <si>
    <t>Soporte metálico para paneles solares, no se requiere, se hará uso de la energía AC</t>
  </si>
  <si>
    <t>Baterías, indicar capacidad para autonomía de 48 horas, no se requiere, se hará uso de la energía AC</t>
  </si>
  <si>
    <t>Controlador para panel solar, no se requiere, se hará uso de la energía AC</t>
  </si>
  <si>
    <t>Poste octogonal de 6 metros en acero galvanizado para estación meteorológica.</t>
  </si>
  <si>
    <t>Cimentación para poste de la estación meteorológica.</t>
  </si>
  <si>
    <t>Corona antiesclatoria</t>
  </si>
  <si>
    <t>Canalización 80 m.</t>
  </si>
  <si>
    <t>Cableado de energía y ducto 3/4", 90m aprox.</t>
  </si>
  <si>
    <t>Cableado UTP Cat 6 y ducto 3/4",  90m aprox.</t>
  </si>
  <si>
    <t>Puesta a tierra  (Incluye varilla(s), caja de inspección, Soldadura, tratamiento de suelo y medida).</t>
  </si>
  <si>
    <t>Encerramiento con malla eslabonada de 2,5 x 2,5 m y concertina.</t>
  </si>
  <si>
    <t>Cajas para la Red Troncal, de paso o derivación, de 80X80X80.</t>
  </si>
  <si>
    <t>Caja de reserva para micro cable de Fibra Óptica.</t>
  </si>
  <si>
    <t>Pig Tail.</t>
  </si>
  <si>
    <t>Cable de servicio de FO, 8 hilos y longitud promedio de 80 m, con características de calidad iguales o mejores a las del microducto de la troncal.</t>
  </si>
  <si>
    <t>Canalización y ducto Conduit de 1 y 1/2", entre la troncal de FO y el ITS, en longitud promedio de 80 m.</t>
  </si>
  <si>
    <t>Fusiones.</t>
  </si>
  <si>
    <t>Material de montaje + el cableado de energía y datos entre la estación meteorológica y el Switch en la edificación correspondiente.</t>
  </si>
  <si>
    <t>Caja para empalme de 8 puertos.</t>
  </si>
  <si>
    <t>'Caja de empalme tipo botella (mufla) para F.O de 48 hilos con cierre térmico para uso subterráneo.</t>
  </si>
  <si>
    <t>UNIDADES FUNCIONALES      0 - 13</t>
  </si>
  <si>
    <t>Total Peajes</t>
  </si>
  <si>
    <t>Carriles reversibles</t>
  </si>
  <si>
    <t>Semáforo rojo, verde, amarillo : Señal de semáforo vehicular con tecnología LED con módulo 2X200 mm en Policarbonato color negro con bisagras del mismo material, Luz rojo y verde, 6W, 120 V. Carcaza plástica.</t>
  </si>
  <si>
    <t>UPS de 30 KVA, bifásica</t>
  </si>
  <si>
    <t>Estaciones repetidoras</t>
  </si>
  <si>
    <t>Certificación del microducto instalado</t>
  </si>
  <si>
    <t>El presupuesto de la cimentación y la placa se encuentran incluidos en el mismo valor</t>
  </si>
  <si>
    <t>SUB SISTEMA</t>
  </si>
  <si>
    <t>UNIDAD</t>
  </si>
  <si>
    <t>0D</t>
  </si>
  <si>
    <t>CANTIDAD TOTAL</t>
  </si>
  <si>
    <t>COSTO DIRECTO</t>
  </si>
  <si>
    <t>CANT</t>
  </si>
  <si>
    <t>VALOR</t>
  </si>
  <si>
    <t>WUXY</t>
  </si>
  <si>
    <t>VALOR UNITARIO</t>
  </si>
  <si>
    <t>SOS</t>
  </si>
  <si>
    <t>UND</t>
  </si>
  <si>
    <t>PMV</t>
  </si>
  <si>
    <t>CCTV</t>
  </si>
  <si>
    <t>GALIBO</t>
  </si>
  <si>
    <t>METEO</t>
  </si>
  <si>
    <t>KM</t>
  </si>
  <si>
    <t>GLB</t>
  </si>
  <si>
    <t xml:space="preserve">ADMINISTRACIÓN </t>
  </si>
  <si>
    <t>IMPREVISTOS</t>
  </si>
  <si>
    <t>UTILIDAD</t>
  </si>
  <si>
    <t>SUB TOTAL COSTOS DIRECTOS + AIU</t>
  </si>
  <si>
    <t>IVA SOBRE UTILIDAD</t>
  </si>
  <si>
    <t>GÁLIBO</t>
  </si>
  <si>
    <t>ESTACIÓN TOMA DE DATOS + CAMARA PLACAS</t>
  </si>
  <si>
    <t>SUR</t>
  </si>
  <si>
    <t xml:space="preserve">POSTE SOS </t>
  </si>
  <si>
    <t>DERECHA</t>
  </si>
  <si>
    <t>IZQUERDA</t>
  </si>
  <si>
    <t>CCO IZQUIERDA</t>
  </si>
  <si>
    <t>SEPARADOR</t>
  </si>
  <si>
    <t>BASCULA DERECHA</t>
  </si>
  <si>
    <t>BASCULA IZQUIERDA</t>
  </si>
  <si>
    <t>PEATONAL</t>
  </si>
  <si>
    <t>INTER LIZAMA</t>
  </si>
  <si>
    <t>FIN RUTA 4511</t>
  </si>
  <si>
    <t>RADAR-ANPR</t>
  </si>
  <si>
    <t>INTER YUMA</t>
  </si>
  <si>
    <t>A. S. AGUAS NEGRAS</t>
  </si>
  <si>
    <t>PEAJE AGUAS NEGRAS</t>
  </si>
  <si>
    <t>PEAJE ZAMBITO</t>
  </si>
  <si>
    <t>FIN RUTA 4510</t>
  </si>
  <si>
    <t>Area Servicio Zambito</t>
  </si>
  <si>
    <t>INTER PTO BOYACA</t>
  </si>
  <si>
    <t>INTER KORAN</t>
  </si>
  <si>
    <t>UNIDIRECCIONAL</t>
  </si>
  <si>
    <t>PMV DERE</t>
  </si>
  <si>
    <t>PMV IZQ</t>
  </si>
  <si>
    <t>UBICACIÓN</t>
  </si>
  <si>
    <t>SISTEMA</t>
  </si>
  <si>
    <t xml:space="preserve">VIA </t>
  </si>
  <si>
    <t>UF</t>
  </si>
  <si>
    <t>RUTA</t>
  </si>
  <si>
    <t>CANTIDAD</t>
  </si>
  <si>
    <t>OBSERVACIÓN</t>
  </si>
  <si>
    <t>SEPARACIÓN</t>
  </si>
  <si>
    <t xml:space="preserve">UBICACIÓN EQUIPOS ITS </t>
  </si>
  <si>
    <t>NO OBJETADOS</t>
  </si>
  <si>
    <t>EPC</t>
  </si>
  <si>
    <t>PESAJE (Básculas sentido Sur y Norte)</t>
  </si>
  <si>
    <t xml:space="preserve">ADMINISTRACIÓN
- 22% - </t>
  </si>
  <si>
    <t>IMPREVISTOS 
- 4% -</t>
  </si>
  <si>
    <t>UTILIDAD
- 4% -</t>
  </si>
  <si>
    <t>I.V.A.
- 19% -
(sobre utilidad)</t>
  </si>
  <si>
    <t>PEAJES</t>
  </si>
  <si>
    <t>PESAJES</t>
  </si>
  <si>
    <t>TOTALES</t>
  </si>
  <si>
    <t>UF 0D</t>
  </si>
  <si>
    <t>UF 1</t>
  </si>
  <si>
    <t>UF 2</t>
  </si>
  <si>
    <t>UF 3</t>
  </si>
  <si>
    <t>UF 4</t>
  </si>
  <si>
    <t>UF 5</t>
  </si>
  <si>
    <t>UF 6</t>
  </si>
  <si>
    <t>UF 7</t>
  </si>
  <si>
    <t>UF 8</t>
  </si>
  <si>
    <t>UF 9</t>
  </si>
  <si>
    <t>UF 10</t>
  </si>
  <si>
    <t>UF 11</t>
  </si>
  <si>
    <t>UF 12</t>
  </si>
  <si>
    <t>UF 13</t>
  </si>
  <si>
    <t>UNIDAD FUNCIONAL
/
INSTALACIÓN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</si>
</sst>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 #,##0;[Red]\-&quot;$&quot;\ #,##0"/>
    <numFmt numFmtId="42" formatCode="_-&quot;$&quot;\ * #,##0_-;\-&quot;$&quot;\ * #,##0_-;_-&quot;$&quot;\ * &quot;-&quot;_-;_-@_-"/>
    <numFmt numFmtId="44" formatCode="_-&quot;$&quot;\ * #,##0.00_-;\-&quot;$&quot;\ * #,##0.00_-;_-&quot;$&quot;\ * &quot;-&quot;??_-;_-@_-"/>
    <numFmt numFmtId="43" formatCode="_-* #,##0.00_-;\-* #,##0.00_-;_-* &quot;-&quot;??_-;_-@_-"/>
    <numFmt numFmtId="164" formatCode="#,##0.000"/>
    <numFmt numFmtId="165" formatCode="_ * #,##0.00_ ;_ * \-#,##0.00_ ;_ * &quot;-&quot;??_ ;_ @_ "/>
    <numFmt numFmtId="166" formatCode="_-* #,##0\ _p_t_a_-;\-* #,##0\ _p_t_a_-;_-* &quot;-&quot;\ _p_t_a_-;_-@_-"/>
    <numFmt numFmtId="167" formatCode="_-&quot;$&quot;\ * #,##0_-;\-&quot;$&quot;\ * #,##0_-;_-&quot;$&quot;\ * &quot;-&quot;??_-;_-@_-"/>
    <numFmt numFmtId="168" formatCode="0.0"/>
    <numFmt numFmtId="169" formatCode="0.0000000"/>
    <numFmt numFmtId="170" formatCode="#\+##0"/>
  </numFmts>
  <fonts count="49" x14ac:knownFonts="1">
    <font>
      <sz val="11"/>
      <color theme="1"/>
      <name val="Arial"/>
      <family val="2"/>
    </font>
    <font>
      <sz val="11"/>
      <color theme="1"/>
      <name val="Calibri"/>
      <family val="2"/>
      <scheme val="minor"/>
    </font>
    <font>
      <sz val="11"/>
      <color theme="1"/>
      <name val="Arial"/>
      <family val="2"/>
    </font>
    <font>
      <b/>
      <sz val="12"/>
      <color theme="1"/>
      <name val="Arial"/>
      <family val="2"/>
    </font>
    <font>
      <sz val="12"/>
      <color rgb="FF000000"/>
      <name val="Arial"/>
      <family val="2"/>
    </font>
    <font>
      <b/>
      <sz val="12"/>
      <color rgb="FF000000"/>
      <name val="Arial"/>
      <family val="2"/>
    </font>
    <font>
      <sz val="12"/>
      <color theme="1"/>
      <name val="Arial"/>
      <family val="2"/>
    </font>
    <font>
      <b/>
      <sz val="12"/>
      <color theme="0"/>
      <name val="Arial"/>
      <family val="2"/>
    </font>
    <font>
      <b/>
      <sz val="12"/>
      <color indexed="8"/>
      <name val="Arial"/>
      <family val="2"/>
    </font>
    <font>
      <sz val="12"/>
      <color indexed="8"/>
      <name val="Arial"/>
      <family val="2"/>
    </font>
    <font>
      <sz val="10"/>
      <color indexed="64"/>
      <name val="Arial"/>
      <family val="2"/>
    </font>
    <font>
      <sz val="10"/>
      <color indexed="8"/>
      <name val="Arial"/>
      <family val="2"/>
    </font>
    <font>
      <sz val="10"/>
      <color theme="1"/>
      <name val="Arial"/>
      <family val="2"/>
    </font>
    <font>
      <sz val="10"/>
      <color rgb="FF000000"/>
      <name val="Arial"/>
      <family val="2"/>
    </font>
    <font>
      <sz val="10"/>
      <name val="Arial"/>
      <family val="2"/>
    </font>
    <font>
      <b/>
      <sz val="10"/>
      <color rgb="FF000000"/>
      <name val="Arial"/>
      <family val="2"/>
    </font>
    <font>
      <b/>
      <sz val="10"/>
      <color indexed="64"/>
      <name val="Arial"/>
      <family val="2"/>
    </font>
    <font>
      <sz val="11"/>
      <color theme="1"/>
      <name val="Calibri"/>
      <family val="2"/>
      <scheme val="minor"/>
    </font>
    <font>
      <b/>
      <sz val="14"/>
      <color rgb="FF000000"/>
      <name val="Arial"/>
      <family val="2"/>
    </font>
    <font>
      <sz val="12"/>
      <color theme="0"/>
      <name val="Arial"/>
      <family val="2"/>
    </font>
    <font>
      <b/>
      <sz val="10"/>
      <color rgb="FFFF0000"/>
      <name val="Arial"/>
      <family val="2"/>
    </font>
    <font>
      <b/>
      <sz val="10"/>
      <name val="Arial"/>
      <family val="2"/>
    </font>
    <font>
      <b/>
      <sz val="10"/>
      <color theme="1"/>
      <name val="Arial"/>
      <family val="2"/>
    </font>
    <font>
      <b/>
      <sz val="10"/>
      <color indexed="8"/>
      <name val="Arial"/>
      <family val="2"/>
    </font>
    <font>
      <sz val="9"/>
      <color theme="1"/>
      <name val="Arial"/>
      <family val="2"/>
    </font>
    <font>
      <b/>
      <sz val="11"/>
      <color theme="1"/>
      <name val="Calibri"/>
      <family val="2"/>
      <scheme val="minor"/>
    </font>
    <font>
      <sz val="9"/>
      <color rgb="FF000000"/>
      <name val="Calibri"/>
      <family val="2"/>
    </font>
    <font>
      <sz val="10"/>
      <color rgb="FF000000"/>
      <name val="Aptos"/>
      <family val="2"/>
    </font>
    <font>
      <b/>
      <sz val="12"/>
      <color theme="1"/>
      <name val="Aptos"/>
      <family val="2"/>
    </font>
    <font>
      <sz val="12"/>
      <color rgb="FF000000"/>
      <name val="Aptos"/>
      <family val="2"/>
    </font>
    <font>
      <b/>
      <sz val="12"/>
      <color rgb="FF000000"/>
      <name val="Aptos"/>
      <family val="2"/>
    </font>
    <font>
      <b/>
      <sz val="12"/>
      <color theme="0"/>
      <name val="Aptos"/>
      <family val="2"/>
    </font>
    <font>
      <b/>
      <sz val="12"/>
      <color indexed="8"/>
      <name val="Aptos"/>
      <family val="2"/>
    </font>
    <font>
      <sz val="12"/>
      <color indexed="8"/>
      <name val="Aptos"/>
      <family val="2"/>
    </font>
    <font>
      <sz val="11"/>
      <color theme="1"/>
      <name val="Aptos"/>
      <family val="2"/>
    </font>
    <font>
      <b/>
      <sz val="10"/>
      <color rgb="FF000000"/>
      <name val="Aptos"/>
      <family val="2"/>
    </font>
    <font>
      <b/>
      <sz val="10"/>
      <color indexed="64"/>
      <name val="Aptos"/>
      <family val="2"/>
    </font>
    <font>
      <sz val="12"/>
      <color theme="1"/>
      <name val="Aptos"/>
      <family val="2"/>
    </font>
    <font>
      <sz val="10"/>
      <color indexed="64"/>
      <name val="Aptos"/>
      <family val="2"/>
    </font>
    <font>
      <sz val="10"/>
      <color indexed="8"/>
      <name val="Aptos"/>
      <family val="2"/>
    </font>
    <font>
      <sz val="10"/>
      <color theme="1"/>
      <name val="Aptos"/>
      <family val="2"/>
    </font>
    <font>
      <sz val="10"/>
      <name val="Aptos"/>
      <family val="2"/>
    </font>
    <font>
      <b/>
      <sz val="14"/>
      <color rgb="FF000000"/>
      <name val="Aptos"/>
      <family val="2"/>
    </font>
    <font>
      <b/>
      <sz val="18"/>
      <color theme="1"/>
      <name val="Aptos"/>
      <family val="2"/>
    </font>
    <font>
      <sz val="18"/>
      <color indexed="8"/>
      <name val="Aptos"/>
      <family val="2"/>
    </font>
    <font>
      <sz val="18"/>
      <color theme="1"/>
      <name val="Aptos"/>
      <family val="2"/>
    </font>
    <font>
      <b/>
      <sz val="11"/>
      <color theme="0"/>
      <name val="Aptos"/>
      <family val="2"/>
    </font>
    <font>
      <sz val="8"/>
      <name val="Arial"/>
      <family val="2"/>
    </font>
    <font>
      <b/>
      <sz val="11"/>
      <color theme="1"/>
      <name val="Aptos"/>
      <family val="2"/>
    </font>
  </fonts>
  <fills count="12">
    <fill>
      <patternFill patternType="none"/>
    </fill>
    <fill>
      <patternFill patternType="gray125"/>
    </fill>
    <fill>
      <patternFill patternType="solid">
        <fgColor theme="4" tint="-0.499984740745262"/>
        <bgColor rgb="FFD9E2F3"/>
      </patternFill>
    </fill>
    <fill>
      <patternFill patternType="solid">
        <fgColor theme="4" tint="0.59999389629810485"/>
        <bgColor indexed="64"/>
      </patternFill>
    </fill>
    <fill>
      <patternFill patternType="solid">
        <fgColor rgb="FFFEFEFE"/>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F0000"/>
        <bgColor indexed="64"/>
      </patternFill>
    </fill>
    <fill>
      <patternFill patternType="solid">
        <fgColor theme="9" tint="-0.249977111117893"/>
        <bgColor rgb="FFD9E2F3"/>
      </patternFill>
    </fill>
    <fill>
      <patternFill patternType="solid">
        <fgColor theme="0"/>
        <bgColor rgb="FFD9E2F3"/>
      </patternFill>
    </fill>
    <fill>
      <patternFill patternType="solid">
        <fgColor theme="0"/>
        <bgColor indexed="64"/>
      </patternFill>
    </fill>
  </fills>
  <borders count="5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hair">
        <color indexed="64"/>
      </left>
      <right style="hair">
        <color indexed="64"/>
      </right>
      <top/>
      <bottom style="hair">
        <color indexed="64"/>
      </bottom>
      <diagonal/>
    </border>
    <border>
      <left style="medium">
        <color auto="1"/>
      </left>
      <right style="thin">
        <color auto="1"/>
      </right>
      <top/>
      <bottom/>
      <diagonal/>
    </border>
    <border>
      <left style="thin">
        <color indexed="64"/>
      </left>
      <right/>
      <top/>
      <bottom/>
      <diagonal/>
    </border>
    <border>
      <left style="thin">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auto="1"/>
      </bottom>
      <diagonal/>
    </border>
    <border>
      <left style="thin">
        <color auto="1"/>
      </left>
      <right/>
      <top style="thin">
        <color auto="1"/>
      </top>
      <bottom/>
      <diagonal/>
    </border>
    <border>
      <left/>
      <right style="thin">
        <color auto="1"/>
      </right>
      <top style="thin">
        <color auto="1"/>
      </top>
      <bottom/>
      <diagonal/>
    </border>
    <border>
      <left/>
      <right/>
      <top style="thin">
        <color rgb="FF000000"/>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right/>
      <top/>
      <bottom style="thin">
        <color indexed="64"/>
      </bottom>
      <diagonal/>
    </border>
    <border>
      <left style="medium">
        <color theme="9" tint="-0.24994659260841701"/>
      </left>
      <right style="thin">
        <color theme="9" tint="-0.24994659260841701"/>
      </right>
      <top style="medium">
        <color theme="9" tint="-0.24994659260841701"/>
      </top>
      <bottom style="thin">
        <color theme="9" tint="-0.24994659260841701"/>
      </bottom>
      <diagonal/>
    </border>
    <border>
      <left style="thin">
        <color theme="9" tint="-0.24994659260841701"/>
      </left>
      <right style="thin">
        <color theme="9" tint="-0.24994659260841701"/>
      </right>
      <top style="medium">
        <color theme="9" tint="-0.24994659260841701"/>
      </top>
      <bottom style="thin">
        <color theme="9" tint="-0.24994659260841701"/>
      </bottom>
      <diagonal/>
    </border>
    <border>
      <left style="thin">
        <color theme="9" tint="-0.24994659260841701"/>
      </left>
      <right style="medium">
        <color theme="9" tint="-0.24994659260841701"/>
      </right>
      <top style="medium">
        <color theme="9" tint="-0.24994659260841701"/>
      </top>
      <bottom style="thin">
        <color theme="9" tint="-0.24994659260841701"/>
      </bottom>
      <diagonal/>
    </border>
    <border>
      <left style="medium">
        <color theme="9" tint="-0.24994659260841701"/>
      </left>
      <right style="thin">
        <color theme="9" tint="-0.24994659260841701"/>
      </right>
      <top style="thin">
        <color theme="9" tint="-0.24994659260841701"/>
      </top>
      <bottom style="thin">
        <color theme="9" tint="-0.24994659260841701"/>
      </bottom>
      <diagonal/>
    </border>
    <border>
      <left style="thin">
        <color theme="9" tint="-0.24994659260841701"/>
      </left>
      <right style="thin">
        <color theme="9" tint="-0.24994659260841701"/>
      </right>
      <top style="thin">
        <color theme="9" tint="-0.24994659260841701"/>
      </top>
      <bottom style="thin">
        <color theme="9" tint="-0.24994659260841701"/>
      </bottom>
      <diagonal/>
    </border>
    <border>
      <left style="thin">
        <color theme="9" tint="-0.24994659260841701"/>
      </left>
      <right style="medium">
        <color theme="9" tint="-0.24994659260841701"/>
      </right>
      <top style="thin">
        <color theme="9" tint="-0.24994659260841701"/>
      </top>
      <bottom style="thin">
        <color theme="9" tint="-0.24994659260841701"/>
      </bottom>
      <diagonal/>
    </border>
    <border>
      <left style="medium">
        <color theme="9" tint="-0.24994659260841701"/>
      </left>
      <right style="thin">
        <color theme="9" tint="-0.24994659260841701"/>
      </right>
      <top style="thin">
        <color theme="9" tint="-0.24994659260841701"/>
      </top>
      <bottom style="medium">
        <color theme="9" tint="-0.24994659260841701"/>
      </bottom>
      <diagonal/>
    </border>
    <border>
      <left style="thin">
        <color theme="9" tint="-0.24994659260841701"/>
      </left>
      <right style="thin">
        <color theme="9" tint="-0.24994659260841701"/>
      </right>
      <top style="thin">
        <color theme="9" tint="-0.24994659260841701"/>
      </top>
      <bottom style="medium">
        <color theme="9" tint="-0.24994659260841701"/>
      </bottom>
      <diagonal/>
    </border>
    <border>
      <left style="thin">
        <color theme="9" tint="-0.24994659260841701"/>
      </left>
      <right style="medium">
        <color theme="9" tint="-0.24994659260841701"/>
      </right>
      <top style="thin">
        <color theme="9" tint="-0.24994659260841701"/>
      </top>
      <bottom style="medium">
        <color theme="9" tint="-0.24994659260841701"/>
      </bottom>
      <diagonal/>
    </border>
    <border>
      <left style="medium">
        <color theme="9" tint="-0.24994659260841701"/>
      </left>
      <right style="thin">
        <color theme="9" tint="-0.24994659260841701"/>
      </right>
      <top style="medium">
        <color theme="9" tint="-0.24994659260841701"/>
      </top>
      <bottom style="medium">
        <color theme="9" tint="-0.24994659260841701"/>
      </bottom>
      <diagonal/>
    </border>
    <border>
      <left style="thin">
        <color theme="9" tint="-0.24994659260841701"/>
      </left>
      <right style="thin">
        <color theme="9" tint="-0.24994659260841701"/>
      </right>
      <top style="medium">
        <color theme="9" tint="-0.24994659260841701"/>
      </top>
      <bottom style="medium">
        <color theme="9" tint="-0.24994659260841701"/>
      </bottom>
      <diagonal/>
    </border>
    <border>
      <left style="thin">
        <color theme="9" tint="-0.24994659260841701"/>
      </left>
      <right style="medium">
        <color theme="9" tint="-0.24994659260841701"/>
      </right>
      <top style="medium">
        <color theme="9" tint="-0.24994659260841701"/>
      </top>
      <bottom style="medium">
        <color theme="9" tint="-0.24994659260841701"/>
      </bottom>
      <diagonal/>
    </border>
  </borders>
  <cellStyleXfs count="13">
    <xf numFmtId="0" fontId="0" fillId="0" borderId="0"/>
    <xf numFmtId="43" fontId="2" fillId="0" borderId="0" applyFont="0" applyFill="0" applyBorder="0" applyAlignment="0" applyProtection="0"/>
    <xf numFmtId="42" fontId="2" fillId="0" borderId="0" applyFont="0" applyFill="0" applyBorder="0" applyAlignment="0" applyProtection="0"/>
    <xf numFmtId="9" fontId="2" fillId="0" borderId="0" applyFont="0" applyFill="0" applyBorder="0" applyAlignment="0" applyProtection="0"/>
    <xf numFmtId="0" fontId="10" fillId="0" borderId="0"/>
    <xf numFmtId="165" fontId="14" fillId="0" borderId="0" applyFont="0" applyFill="0" applyBorder="0" applyAlignment="0" applyProtection="0"/>
    <xf numFmtId="9" fontId="17" fillId="0" borderId="0" applyFont="0" applyFill="0" applyBorder="0" applyAlignment="0" applyProtection="0"/>
    <xf numFmtId="0" fontId="14" fillId="0" borderId="0"/>
    <xf numFmtId="166" fontId="14"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44" fontId="2" fillId="0" borderId="0" applyFont="0" applyFill="0" applyBorder="0" applyAlignment="0" applyProtection="0"/>
  </cellStyleXfs>
  <cellXfs count="409">
    <xf numFmtId="0" fontId="0" fillId="0" borderId="0" xfId="0"/>
    <xf numFmtId="0" fontId="3" fillId="0" borderId="0" xfId="0" applyFont="1" applyAlignment="1">
      <alignment horizontal="left" vertical="center"/>
    </xf>
    <xf numFmtId="0" fontId="4" fillId="0" borderId="0" xfId="0" applyFont="1"/>
    <xf numFmtId="0" fontId="3" fillId="0" borderId="0" xfId="0" applyFont="1"/>
    <xf numFmtId="3" fontId="4" fillId="0" borderId="0" xfId="0" applyNumberFormat="1" applyFont="1"/>
    <xf numFmtId="3" fontId="4" fillId="0" borderId="0" xfId="0" applyNumberFormat="1" applyFont="1" applyAlignment="1">
      <alignment horizontal="right"/>
    </xf>
    <xf numFmtId="0" fontId="5" fillId="0" borderId="0" xfId="0" applyFont="1" applyAlignment="1">
      <alignment horizontal="left"/>
    </xf>
    <xf numFmtId="3" fontId="6" fillId="0" borderId="0" xfId="0" applyNumberFormat="1" applyFont="1"/>
    <xf numFmtId="0" fontId="4" fillId="0" borderId="0" xfId="0" applyFont="1" applyAlignment="1">
      <alignment horizontal="right" vertical="center"/>
    </xf>
    <xf numFmtId="164" fontId="4" fillId="0" borderId="0" xfId="0" applyNumberFormat="1" applyFont="1" applyAlignment="1">
      <alignment horizontal="right"/>
    </xf>
    <xf numFmtId="164" fontId="4" fillId="0" borderId="0" xfId="0" applyNumberFormat="1" applyFont="1"/>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3" fontId="7" fillId="2" borderId="3" xfId="0" applyNumberFormat="1" applyFont="1" applyFill="1" applyBorder="1" applyAlignment="1">
      <alignment horizontal="center" vertical="center" wrapText="1"/>
    </xf>
    <xf numFmtId="0" fontId="5" fillId="0" borderId="0" xfId="0" applyFont="1" applyAlignment="1">
      <alignment wrapText="1"/>
    </xf>
    <xf numFmtId="0" fontId="9" fillId="3" borderId="5" xfId="0" quotePrefix="1" applyFont="1" applyFill="1" applyBorder="1" applyAlignment="1">
      <alignment horizontal="left" vertical="center" wrapText="1"/>
    </xf>
    <xf numFmtId="3" fontId="9" fillId="3" borderId="5" xfId="0" quotePrefix="1" applyNumberFormat="1" applyFont="1" applyFill="1" applyBorder="1" applyAlignment="1">
      <alignment horizontal="left" vertical="center" wrapText="1"/>
    </xf>
    <xf numFmtId="3" fontId="9" fillId="3" borderId="5" xfId="0" quotePrefix="1" applyNumberFormat="1" applyFont="1" applyFill="1" applyBorder="1" applyAlignment="1">
      <alignment horizontal="center" vertical="center" wrapText="1"/>
    </xf>
    <xf numFmtId="3" fontId="9" fillId="3" borderId="6" xfId="0" quotePrefix="1" applyNumberFormat="1" applyFont="1" applyFill="1" applyBorder="1" applyAlignment="1">
      <alignment horizontal="center" vertical="center" wrapText="1"/>
    </xf>
    <xf numFmtId="0" fontId="4" fillId="0" borderId="0" xfId="0" applyFont="1" applyAlignment="1">
      <alignment wrapText="1"/>
    </xf>
    <xf numFmtId="0" fontId="9" fillId="3" borderId="8" xfId="0" quotePrefix="1" applyFont="1" applyFill="1" applyBorder="1" applyAlignment="1">
      <alignment horizontal="left" vertical="center" wrapText="1"/>
    </xf>
    <xf numFmtId="3" fontId="9" fillId="3" borderId="8" xfId="0" quotePrefix="1" applyNumberFormat="1" applyFont="1" applyFill="1" applyBorder="1" applyAlignment="1">
      <alignment horizontal="center" vertical="center" wrapText="1"/>
    </xf>
    <xf numFmtId="3" fontId="9" fillId="3" borderId="9" xfId="0" quotePrefix="1" applyNumberFormat="1" applyFont="1" applyFill="1" applyBorder="1" applyAlignment="1">
      <alignment horizontal="center" vertical="center" wrapText="1"/>
    </xf>
    <xf numFmtId="2" fontId="10" fillId="0" borderId="10" xfId="4" applyNumberFormat="1" applyBorder="1" applyAlignment="1">
      <alignment horizontal="center" vertical="center"/>
    </xf>
    <xf numFmtId="3" fontId="10" fillId="0" borderId="11" xfId="2" applyNumberFormat="1" applyFont="1" applyBorder="1" applyAlignment="1">
      <alignment vertical="center" wrapText="1"/>
    </xf>
    <xf numFmtId="0" fontId="11" fillId="0" borderId="11" xfId="0" quotePrefix="1" applyFont="1" applyBorder="1" applyAlignment="1">
      <alignment horizontal="center" vertical="center" wrapText="1"/>
    </xf>
    <xf numFmtId="3" fontId="12" fillId="0" borderId="11" xfId="0" applyNumberFormat="1" applyFont="1" applyBorder="1" applyAlignment="1">
      <alignment horizontal="center" vertical="center" wrapText="1"/>
    </xf>
    <xf numFmtId="3" fontId="13" fillId="0" borderId="11" xfId="0" applyNumberFormat="1" applyFont="1" applyBorder="1" applyAlignment="1">
      <alignment horizontal="right" vertical="center" wrapText="1"/>
    </xf>
    <xf numFmtId="3" fontId="13" fillId="0" borderId="11" xfId="0" applyNumberFormat="1" applyFont="1" applyBorder="1" applyAlignment="1">
      <alignment vertical="center"/>
    </xf>
    <xf numFmtId="3" fontId="13" fillId="0" borderId="12" xfId="0" applyNumberFormat="1" applyFont="1" applyBorder="1" applyAlignment="1">
      <alignment vertical="center"/>
    </xf>
    <xf numFmtId="0" fontId="13" fillId="0" borderId="0" xfId="0" applyFont="1"/>
    <xf numFmtId="0" fontId="12" fillId="0" borderId="11" xfId="0" applyFont="1" applyBorder="1" applyAlignment="1">
      <alignment vertical="center" wrapText="1"/>
    </xf>
    <xf numFmtId="3" fontId="12" fillId="0" borderId="11" xfId="0" applyNumberFormat="1" applyFont="1" applyBorder="1" applyAlignment="1">
      <alignment horizontal="right" vertical="center" wrapText="1"/>
    </xf>
    <xf numFmtId="3" fontId="10" fillId="0" borderId="11" xfId="2" applyNumberFormat="1" applyFont="1" applyFill="1" applyBorder="1" applyAlignment="1">
      <alignment vertical="center"/>
    </xf>
    <xf numFmtId="3" fontId="10" fillId="0" borderId="11" xfId="2" applyNumberFormat="1" applyFont="1" applyBorder="1" applyAlignment="1">
      <alignment horizontal="left" vertical="center" wrapText="1"/>
    </xf>
    <xf numFmtId="0" fontId="14" fillId="0" borderId="11" xfId="0" applyFont="1" applyBorder="1" applyAlignment="1">
      <alignment vertical="center" wrapText="1"/>
    </xf>
    <xf numFmtId="0" fontId="11" fillId="0" borderId="11" xfId="0" quotePrefix="1" applyFont="1" applyBorder="1" applyAlignment="1">
      <alignment horizontal="left" vertical="center" wrapText="1"/>
    </xf>
    <xf numFmtId="2" fontId="10" fillId="0" borderId="13" xfId="4" applyNumberFormat="1" applyBorder="1" applyAlignment="1">
      <alignment horizontal="center" vertical="center"/>
    </xf>
    <xf numFmtId="0" fontId="11" fillId="0" borderId="14" xfId="0" quotePrefix="1" applyFont="1" applyBorder="1" applyAlignment="1">
      <alignment horizontal="center" vertical="center" wrapText="1"/>
    </xf>
    <xf numFmtId="3" fontId="12" fillId="0" borderId="14" xfId="0" applyNumberFormat="1" applyFont="1" applyBorder="1" applyAlignment="1">
      <alignment horizontal="center" vertical="center" wrapText="1"/>
    </xf>
    <xf numFmtId="3" fontId="13" fillId="0" borderId="14" xfId="0" applyNumberFormat="1" applyFont="1" applyBorder="1" applyAlignment="1">
      <alignment horizontal="right" vertical="center" wrapText="1"/>
    </xf>
    <xf numFmtId="3" fontId="13" fillId="0" borderId="14" xfId="0" applyNumberFormat="1" applyFont="1" applyBorder="1" applyAlignment="1">
      <alignment vertical="center"/>
    </xf>
    <xf numFmtId="3" fontId="13" fillId="0" borderId="15" xfId="0" applyNumberFormat="1" applyFont="1" applyBorder="1" applyAlignment="1">
      <alignment vertical="center"/>
    </xf>
    <xf numFmtId="3" fontId="12" fillId="0" borderId="0" xfId="0" applyNumberFormat="1" applyFont="1" applyAlignment="1">
      <alignment horizontal="center" vertical="center" wrapText="1"/>
    </xf>
    <xf numFmtId="3" fontId="13" fillId="0" borderId="17" xfId="0" applyNumberFormat="1" applyFont="1" applyBorder="1" applyAlignment="1">
      <alignment horizontal="right" vertical="center" wrapText="1"/>
    </xf>
    <xf numFmtId="3" fontId="13" fillId="0" borderId="18" xfId="0" applyNumberFormat="1" applyFont="1" applyBorder="1" applyAlignment="1">
      <alignment horizontal="right" vertical="center" wrapText="1"/>
    </xf>
    <xf numFmtId="3" fontId="5" fillId="0" borderId="19" xfId="0" applyNumberFormat="1" applyFont="1" applyBorder="1" applyAlignment="1">
      <alignment horizontal="right" vertical="center"/>
    </xf>
    <xf numFmtId="3" fontId="13" fillId="0" borderId="2" xfId="0" applyNumberFormat="1" applyFont="1" applyBorder="1"/>
    <xf numFmtId="3" fontId="15" fillId="0" borderId="3" xfId="0" applyNumberFormat="1" applyFont="1" applyBorder="1" applyAlignment="1">
      <alignment vertical="center"/>
    </xf>
    <xf numFmtId="3" fontId="16" fillId="0" borderId="20" xfId="5" applyNumberFormat="1" applyFont="1" applyBorder="1" applyAlignment="1">
      <alignment horizontal="left" vertical="center"/>
    </xf>
    <xf numFmtId="3" fontId="13" fillId="0" borderId="21" xfId="0" applyNumberFormat="1" applyFont="1" applyBorder="1" applyAlignment="1">
      <alignment horizontal="right" vertical="center" wrapText="1"/>
    </xf>
    <xf numFmtId="3" fontId="13" fillId="0" borderId="22" xfId="0" applyNumberFormat="1" applyFont="1" applyBorder="1" applyAlignment="1">
      <alignment vertical="center"/>
    </xf>
    <xf numFmtId="9" fontId="16" fillId="0" borderId="11" xfId="3" applyFont="1" applyBorder="1" applyAlignment="1">
      <alignment horizontal="center" vertical="center"/>
    </xf>
    <xf numFmtId="3" fontId="16" fillId="0" borderId="11" xfId="3" applyNumberFormat="1" applyFont="1" applyBorder="1" applyAlignment="1">
      <alignment horizontal="center" vertical="center"/>
    </xf>
    <xf numFmtId="3" fontId="13" fillId="0" borderId="20" xfId="0" applyNumberFormat="1" applyFont="1" applyBorder="1" applyAlignment="1">
      <alignment horizontal="right" vertical="center" wrapText="1"/>
    </xf>
    <xf numFmtId="3" fontId="16" fillId="0" borderId="11" xfId="6" applyNumberFormat="1" applyFont="1" applyBorder="1" applyAlignment="1">
      <alignment horizontal="center" vertical="center"/>
    </xf>
    <xf numFmtId="3" fontId="13" fillId="0" borderId="23" xfId="0" applyNumberFormat="1" applyFont="1" applyBorder="1" applyAlignment="1">
      <alignment horizontal="right" vertical="center" wrapText="1"/>
    </xf>
    <xf numFmtId="3" fontId="13" fillId="0" borderId="24" xfId="0" applyNumberFormat="1" applyFont="1" applyBorder="1" applyAlignment="1">
      <alignment horizontal="right" vertical="center" wrapText="1"/>
    </xf>
    <xf numFmtId="3" fontId="5" fillId="0" borderId="25" xfId="0" applyNumberFormat="1" applyFont="1" applyBorder="1" applyAlignment="1">
      <alignment horizontal="right" vertical="center"/>
    </xf>
    <xf numFmtId="3" fontId="15" fillId="0" borderId="15" xfId="0" applyNumberFormat="1" applyFont="1" applyBorder="1" applyAlignment="1">
      <alignment vertical="center"/>
    </xf>
    <xf numFmtId="0" fontId="18" fillId="0" borderId="0" xfId="0" applyFont="1" applyAlignment="1">
      <alignment horizontal="center" vertical="center"/>
    </xf>
    <xf numFmtId="0" fontId="13" fillId="0" borderId="0" xfId="0" applyFont="1" applyAlignment="1">
      <alignment vertical="center"/>
    </xf>
    <xf numFmtId="3" fontId="13" fillId="0" borderId="0" xfId="0" applyNumberFormat="1" applyFont="1"/>
    <xf numFmtId="3" fontId="13" fillId="0" borderId="0" xfId="0" applyNumberFormat="1" applyFont="1" applyAlignment="1">
      <alignment horizontal="right"/>
    </xf>
    <xf numFmtId="0" fontId="13" fillId="0" borderId="0" xfId="0" applyFont="1" applyAlignment="1">
      <alignment horizontal="right" vertical="center"/>
    </xf>
    <xf numFmtId="0" fontId="11" fillId="4" borderId="11" xfId="0" quotePrefix="1" applyFont="1" applyFill="1" applyBorder="1" applyAlignment="1">
      <alignment horizontal="center" vertical="center" wrapText="1"/>
    </xf>
    <xf numFmtId="0" fontId="13" fillId="0" borderId="11" xfId="0" applyFont="1" applyBorder="1" applyAlignment="1">
      <alignment vertical="center"/>
    </xf>
    <xf numFmtId="0" fontId="12" fillId="0" borderId="14" xfId="0" applyFont="1" applyBorder="1" applyAlignment="1">
      <alignment vertical="center" wrapText="1"/>
    </xf>
    <xf numFmtId="3" fontId="12" fillId="0" borderId="14" xfId="0" applyNumberFormat="1" applyFont="1" applyBorder="1" applyAlignment="1">
      <alignment horizontal="right" vertical="center" wrapText="1"/>
    </xf>
    <xf numFmtId="0" fontId="11" fillId="3" borderId="5" xfId="0" quotePrefix="1" applyFont="1" applyFill="1" applyBorder="1" applyAlignment="1">
      <alignment horizontal="left" vertical="center" wrapText="1"/>
    </xf>
    <xf numFmtId="3" fontId="11" fillId="3" borderId="5" xfId="0" quotePrefix="1" applyNumberFormat="1" applyFont="1" applyFill="1" applyBorder="1" applyAlignment="1">
      <alignment horizontal="left" vertical="center" wrapText="1"/>
    </xf>
    <xf numFmtId="3" fontId="11" fillId="3" borderId="5" xfId="0" quotePrefix="1" applyNumberFormat="1" applyFont="1" applyFill="1" applyBorder="1" applyAlignment="1">
      <alignment horizontal="center" vertical="center" wrapText="1"/>
    </xf>
    <xf numFmtId="3" fontId="11" fillId="3" borderId="6" xfId="0" quotePrefix="1" applyNumberFormat="1" applyFont="1" applyFill="1" applyBorder="1" applyAlignment="1">
      <alignment horizontal="center" vertical="center" wrapText="1"/>
    </xf>
    <xf numFmtId="0" fontId="13" fillId="0" borderId="0" xfId="0" applyFont="1" applyAlignment="1">
      <alignment wrapText="1"/>
    </xf>
    <xf numFmtId="0" fontId="11" fillId="3" borderId="8" xfId="0" quotePrefix="1" applyFont="1" applyFill="1" applyBorder="1" applyAlignment="1">
      <alignment horizontal="left" vertical="center" wrapText="1"/>
    </xf>
    <xf numFmtId="3" fontId="11" fillId="3" borderId="8" xfId="0" quotePrefix="1" applyNumberFormat="1" applyFont="1" applyFill="1" applyBorder="1" applyAlignment="1">
      <alignment horizontal="center" vertical="center" wrapText="1"/>
    </xf>
    <xf numFmtId="3" fontId="11" fillId="3" borderId="9" xfId="0" quotePrefix="1" applyNumberFormat="1" applyFont="1" applyFill="1" applyBorder="1" applyAlignment="1">
      <alignment horizontal="center" vertical="center" wrapText="1"/>
    </xf>
    <xf numFmtId="3" fontId="10" fillId="0" borderId="11" xfId="2" applyNumberFormat="1" applyFont="1" applyFill="1" applyBorder="1" applyAlignment="1">
      <alignment vertical="center" wrapText="1"/>
    </xf>
    <xf numFmtId="0" fontId="12" fillId="0" borderId="11" xfId="0" applyFont="1" applyBorder="1" applyAlignment="1">
      <alignment horizontal="center" vertical="center" wrapText="1"/>
    </xf>
    <xf numFmtId="0" fontId="11" fillId="4" borderId="14" xfId="0" quotePrefix="1" applyFont="1" applyFill="1" applyBorder="1" applyAlignment="1">
      <alignment horizontal="center" vertical="center" wrapText="1"/>
    </xf>
    <xf numFmtId="3" fontId="10" fillId="0" borderId="11" xfId="4" applyNumberFormat="1" applyBorder="1" applyAlignment="1">
      <alignment horizontal="right" vertical="center"/>
    </xf>
    <xf numFmtId="0" fontId="12" fillId="0" borderId="14" xfId="0" applyFont="1" applyBorder="1" applyAlignment="1">
      <alignment horizontal="center" vertical="center" wrapText="1"/>
    </xf>
    <xf numFmtId="0" fontId="12" fillId="0" borderId="11" xfId="7" applyFont="1" applyBorder="1" applyAlignment="1">
      <alignment vertical="center" wrapText="1"/>
    </xf>
    <xf numFmtId="42" fontId="14" fillId="0" borderId="11" xfId="2" applyFont="1" applyBorder="1" applyAlignment="1">
      <alignment vertical="center" wrapText="1"/>
    </xf>
    <xf numFmtId="0" fontId="14" fillId="0" borderId="11" xfId="0" quotePrefix="1" applyFont="1" applyBorder="1" applyAlignment="1">
      <alignment horizontal="left" vertical="center" wrapText="1"/>
    </xf>
    <xf numFmtId="3" fontId="10" fillId="0" borderId="11" xfId="4" applyNumberFormat="1" applyBorder="1" applyAlignment="1">
      <alignment horizontal="center" vertical="center"/>
    </xf>
    <xf numFmtId="4" fontId="12" fillId="0" borderId="11" xfId="0" applyNumberFormat="1" applyFont="1" applyBorder="1" applyAlignment="1">
      <alignment horizontal="center" vertical="center" wrapText="1"/>
    </xf>
    <xf numFmtId="6" fontId="13" fillId="0" borderId="0" xfId="0" applyNumberFormat="1" applyFont="1"/>
    <xf numFmtId="0" fontId="11" fillId="0" borderId="14" xfId="0" quotePrefix="1" applyFont="1" applyBorder="1" applyAlignment="1">
      <alignment horizontal="left" vertical="center" wrapText="1"/>
    </xf>
    <xf numFmtId="3" fontId="3" fillId="0" borderId="0" xfId="0" applyNumberFormat="1" applyFont="1"/>
    <xf numFmtId="0" fontId="6" fillId="0" borderId="0" xfId="0" applyFont="1"/>
    <xf numFmtId="0" fontId="19" fillId="2" borderId="1"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20" fillId="0" borderId="10" xfId="0" quotePrefix="1" applyFont="1" applyBorder="1" applyAlignment="1">
      <alignment horizontal="center" vertical="center" wrapText="1"/>
    </xf>
    <xf numFmtId="0" fontId="14" fillId="0" borderId="11" xfId="0" applyFont="1" applyBorder="1" applyAlignment="1">
      <alignment horizontal="right" vertical="center" wrapText="1"/>
    </xf>
    <xf numFmtId="3" fontId="11" fillId="0" borderId="11" xfId="0" quotePrefix="1" applyNumberFormat="1" applyFont="1" applyBorder="1" applyAlignment="1">
      <alignment horizontal="left" vertical="center" wrapText="1"/>
    </xf>
    <xf numFmtId="3" fontId="14" fillId="0" borderId="11" xfId="8" applyNumberFormat="1" applyFont="1" applyBorder="1" applyAlignment="1" applyProtection="1">
      <alignment horizontal="center" vertical="center"/>
      <protection locked="0"/>
    </xf>
    <xf numFmtId="3" fontId="11" fillId="0" borderId="11" xfId="0" quotePrefix="1" applyNumberFormat="1" applyFont="1" applyBorder="1" applyAlignment="1">
      <alignment horizontal="right" vertical="center" wrapText="1"/>
    </xf>
    <xf numFmtId="0" fontId="13" fillId="0" borderId="11" xfId="0" applyFont="1" applyBorder="1"/>
    <xf numFmtId="0" fontId="13" fillId="0" borderId="12" xfId="0" applyFont="1" applyBorder="1"/>
    <xf numFmtId="0" fontId="14" fillId="0" borderId="10" xfId="1" applyNumberFormat="1" applyFont="1" applyBorder="1" applyAlignment="1">
      <alignment horizontal="center" vertical="center"/>
    </xf>
    <xf numFmtId="0" fontId="21" fillId="0" borderId="11" xfId="0" applyFont="1" applyBorder="1" applyAlignment="1">
      <alignment vertical="center" wrapText="1"/>
    </xf>
    <xf numFmtId="4" fontId="14" fillId="0" borderId="11" xfId="8" applyNumberFormat="1" applyFont="1" applyBorder="1" applyAlignment="1" applyProtection="1">
      <alignment horizontal="center" vertical="center"/>
      <protection locked="0"/>
    </xf>
    <xf numFmtId="42" fontId="14" fillId="0" borderId="11" xfId="2" applyFont="1" applyBorder="1" applyAlignment="1">
      <alignment horizontal="center" vertical="center" wrapText="1"/>
    </xf>
    <xf numFmtId="42" fontId="10" fillId="0" borderId="11" xfId="2" applyFont="1" applyBorder="1" applyAlignment="1">
      <alignment vertical="center"/>
    </xf>
    <xf numFmtId="0" fontId="10" fillId="0" borderId="11" xfId="4" applyBorder="1" applyAlignment="1">
      <alignment vertical="center"/>
    </xf>
    <xf numFmtId="0" fontId="10" fillId="0" borderId="12" xfId="4" applyBorder="1" applyAlignment="1">
      <alignment vertical="center"/>
    </xf>
    <xf numFmtId="0" fontId="10" fillId="0" borderId="0" xfId="4" applyAlignment="1">
      <alignment vertical="center"/>
    </xf>
    <xf numFmtId="2" fontId="14" fillId="0" borderId="10" xfId="1" applyNumberFormat="1" applyFont="1" applyBorder="1" applyAlignment="1">
      <alignment horizontal="center" vertical="center"/>
    </xf>
    <xf numFmtId="3" fontId="14" fillId="0" borderId="11" xfId="2" applyNumberFormat="1" applyFont="1" applyBorder="1" applyAlignment="1">
      <alignment horizontal="right" vertical="center" wrapText="1"/>
    </xf>
    <xf numFmtId="3" fontId="13" fillId="0" borderId="11" xfId="0" applyNumberFormat="1" applyFont="1" applyBorder="1" applyAlignment="1">
      <alignment horizontal="right" vertical="center"/>
    </xf>
    <xf numFmtId="3" fontId="13" fillId="0" borderId="12" xfId="0" applyNumberFormat="1" applyFont="1" applyBorder="1" applyAlignment="1">
      <alignment horizontal="right" vertical="center"/>
    </xf>
    <xf numFmtId="0" fontId="12" fillId="0" borderId="26" xfId="0" applyFont="1" applyBorder="1" applyAlignment="1">
      <alignment vertical="center" wrapText="1"/>
    </xf>
    <xf numFmtId="3" fontId="14" fillId="0" borderId="11" xfId="2" applyNumberFormat="1" applyFont="1" applyFill="1" applyBorder="1" applyAlignment="1">
      <alignment horizontal="right" vertical="center" wrapText="1"/>
    </xf>
    <xf numFmtId="3" fontId="14" fillId="0" borderId="11" xfId="8" applyNumberFormat="1" applyFont="1" applyFill="1" applyBorder="1" applyAlignment="1" applyProtection="1">
      <alignment horizontal="center" vertical="center"/>
      <protection locked="0"/>
    </xf>
    <xf numFmtId="0" fontId="12" fillId="0" borderId="11" xfId="0" applyFont="1" applyBorder="1" applyAlignment="1">
      <alignment vertical="center"/>
    </xf>
    <xf numFmtId="0" fontId="14" fillId="0" borderId="11" xfId="7" applyBorder="1" applyAlignment="1">
      <alignment horizontal="center" vertical="center"/>
    </xf>
    <xf numFmtId="0" fontId="14" fillId="0" borderId="14" xfId="0" applyFont="1" applyBorder="1" applyAlignment="1">
      <alignment vertical="center" wrapText="1"/>
    </xf>
    <xf numFmtId="4" fontId="14" fillId="0" borderId="14" xfId="8" applyNumberFormat="1" applyFont="1" applyBorder="1" applyAlignment="1" applyProtection="1">
      <alignment horizontal="center" vertical="center"/>
      <protection locked="0"/>
    </xf>
    <xf numFmtId="3" fontId="14" fillId="0" borderId="14" xfId="2" applyNumberFormat="1" applyFont="1" applyFill="1" applyBorder="1" applyAlignment="1">
      <alignment horizontal="right" vertical="center" wrapText="1"/>
    </xf>
    <xf numFmtId="3" fontId="13" fillId="0" borderId="14" xfId="0" applyNumberFormat="1" applyFont="1" applyBorder="1" applyAlignment="1">
      <alignment horizontal="right" vertical="center"/>
    </xf>
    <xf numFmtId="3" fontId="13" fillId="0" borderId="15" xfId="0" applyNumberFormat="1" applyFont="1" applyBorder="1" applyAlignment="1">
      <alignment horizontal="right" vertical="center"/>
    </xf>
    <xf numFmtId="42" fontId="10" fillId="0" borderId="0" xfId="2" applyFont="1"/>
    <xf numFmtId="3" fontId="10" fillId="0" borderId="0" xfId="2" applyNumberFormat="1" applyFont="1"/>
    <xf numFmtId="0" fontId="10" fillId="0" borderId="0" xfId="4"/>
    <xf numFmtId="0" fontId="10" fillId="0" borderId="0" xfId="4" applyAlignment="1">
      <alignment wrapText="1"/>
    </xf>
    <xf numFmtId="0" fontId="10" fillId="0" borderId="0" xfId="4" applyAlignment="1">
      <alignment horizontal="center" vertical="center"/>
    </xf>
    <xf numFmtId="3" fontId="10" fillId="0" borderId="0" xfId="4" applyNumberFormat="1" applyAlignment="1">
      <alignment horizontal="center" vertical="center"/>
    </xf>
    <xf numFmtId="0" fontId="7" fillId="2" borderId="3" xfId="0" applyFont="1" applyFill="1" applyBorder="1" applyAlignment="1">
      <alignment horizontal="center" vertical="center" wrapText="1"/>
    </xf>
    <xf numFmtId="0" fontId="10" fillId="0" borderId="10" xfId="4" applyBorder="1" applyAlignment="1">
      <alignment horizontal="center" vertical="center"/>
    </xf>
    <xf numFmtId="0" fontId="22" fillId="0" borderId="11" xfId="0" applyFont="1" applyBorder="1" applyAlignment="1">
      <alignment wrapText="1"/>
    </xf>
    <xf numFmtId="3" fontId="13" fillId="0" borderId="11" xfId="0" applyNumberFormat="1" applyFont="1" applyBorder="1"/>
    <xf numFmtId="0" fontId="12" fillId="0" borderId="11" xfId="0" applyFont="1" applyBorder="1" applyAlignment="1">
      <alignment wrapText="1"/>
    </xf>
    <xf numFmtId="0" fontId="14" fillId="0" borderId="11" xfId="0" applyFont="1" applyBorder="1" applyAlignment="1">
      <alignment wrapText="1"/>
    </xf>
    <xf numFmtId="0" fontId="23" fillId="0" borderId="11" xfId="0" quotePrefix="1" applyFont="1" applyBorder="1" applyAlignment="1">
      <alignment horizontal="left" vertical="center" wrapText="1"/>
    </xf>
    <xf numFmtId="0" fontId="12" fillId="0" borderId="14" xfId="0" applyFont="1" applyBorder="1" applyAlignment="1">
      <alignment wrapText="1"/>
    </xf>
    <xf numFmtId="4" fontId="12" fillId="0" borderId="14" xfId="0" applyNumberFormat="1" applyFont="1" applyBorder="1" applyAlignment="1">
      <alignment horizontal="center" vertical="center" wrapText="1"/>
    </xf>
    <xf numFmtId="0" fontId="12" fillId="0" borderId="0" xfId="0" applyFont="1"/>
    <xf numFmtId="3" fontId="12" fillId="0" borderId="27" xfId="0" applyNumberFormat="1" applyFont="1" applyBorder="1" applyAlignment="1">
      <alignment horizontal="right" vertical="center" wrapText="1"/>
    </xf>
    <xf numFmtId="3" fontId="13" fillId="0" borderId="27" xfId="0" applyNumberFormat="1" applyFont="1" applyBorder="1" applyAlignment="1">
      <alignment horizontal="right" vertical="center" wrapText="1"/>
    </xf>
    <xf numFmtId="0" fontId="10" fillId="0" borderId="11" xfId="4" applyBorder="1" applyAlignment="1">
      <alignment horizontal="center" vertical="center"/>
    </xf>
    <xf numFmtId="3" fontId="12" fillId="0" borderId="11" xfId="2" applyNumberFormat="1" applyFont="1" applyBorder="1" applyAlignment="1">
      <alignment horizontal="right" vertical="center"/>
    </xf>
    <xf numFmtId="3" fontId="10" fillId="0" borderId="11" xfId="2" applyNumberFormat="1" applyFont="1" applyBorder="1" applyAlignment="1">
      <alignment horizontal="right" vertical="center"/>
    </xf>
    <xf numFmtId="3" fontId="10" fillId="0" borderId="11" xfId="2" applyNumberFormat="1" applyFont="1" applyFill="1" applyBorder="1" applyAlignment="1">
      <alignment horizontal="right" vertical="center"/>
    </xf>
    <xf numFmtId="3" fontId="12" fillId="0" borderId="11" xfId="2" applyNumberFormat="1" applyFont="1" applyFill="1" applyBorder="1" applyAlignment="1">
      <alignment horizontal="right" vertical="center"/>
    </xf>
    <xf numFmtId="3" fontId="13" fillId="0" borderId="5" xfId="0" applyNumberFormat="1" applyFont="1" applyBorder="1" applyAlignment="1">
      <alignment horizontal="right" vertical="center" wrapText="1"/>
    </xf>
    <xf numFmtId="3" fontId="13" fillId="0" borderId="5" xfId="0" applyNumberFormat="1" applyFont="1" applyBorder="1" applyAlignment="1">
      <alignment vertical="center"/>
    </xf>
    <xf numFmtId="3" fontId="13" fillId="0" borderId="6" xfId="0" applyNumberFormat="1" applyFont="1" applyBorder="1" applyAlignment="1">
      <alignment vertical="center"/>
    </xf>
    <xf numFmtId="3" fontId="0" fillId="0" borderId="11" xfId="0" applyNumberFormat="1" applyBorder="1" applyAlignment="1">
      <alignment horizontal="center" vertical="center"/>
    </xf>
    <xf numFmtId="3" fontId="12" fillId="0" borderId="5" xfId="0" applyNumberFormat="1" applyFont="1" applyBorder="1" applyAlignment="1">
      <alignment horizontal="center" vertical="center" wrapText="1"/>
    </xf>
    <xf numFmtId="3" fontId="10" fillId="0" borderId="14" xfId="4" applyNumberFormat="1" applyBorder="1" applyAlignment="1">
      <alignment horizontal="center" vertical="center"/>
    </xf>
    <xf numFmtId="3" fontId="11" fillId="0" borderId="14" xfId="0" quotePrefix="1" applyNumberFormat="1" applyFont="1" applyBorder="1" applyAlignment="1">
      <alignment horizontal="right" vertical="center" wrapText="1"/>
    </xf>
    <xf numFmtId="0" fontId="12" fillId="0" borderId="5" xfId="0" applyFont="1" applyBorder="1" applyAlignment="1">
      <alignment vertical="center" wrapText="1"/>
    </xf>
    <xf numFmtId="3" fontId="13" fillId="0" borderId="5" xfId="0" applyNumberFormat="1" applyFont="1" applyBorder="1" applyAlignment="1">
      <alignment horizontal="right" vertical="center"/>
    </xf>
    <xf numFmtId="0" fontId="9" fillId="3" borderId="34" xfId="0" quotePrefix="1" applyFont="1" applyFill="1" applyBorder="1" applyAlignment="1">
      <alignment horizontal="left" vertical="center" wrapText="1"/>
    </xf>
    <xf numFmtId="3" fontId="9" fillId="3" borderId="34" xfId="0" quotePrefix="1" applyNumberFormat="1" applyFont="1" applyFill="1" applyBorder="1" applyAlignment="1">
      <alignment horizontal="center" vertical="center" wrapText="1"/>
    </xf>
    <xf numFmtId="3" fontId="9" fillId="3" borderId="35" xfId="0" quotePrefix="1" applyNumberFormat="1" applyFont="1" applyFill="1" applyBorder="1" applyAlignment="1">
      <alignment horizontal="center" vertical="center" wrapText="1"/>
    </xf>
    <xf numFmtId="0" fontId="24" fillId="0" borderId="36" xfId="0" applyFont="1" applyBorder="1" applyAlignment="1">
      <alignment horizontal="left" vertical="center" wrapText="1"/>
    </xf>
    <xf numFmtId="0" fontId="24" fillId="0" borderId="37" xfId="0" applyFont="1" applyBorder="1" applyAlignment="1">
      <alignment horizontal="left" vertical="center" wrapText="1"/>
    </xf>
    <xf numFmtId="3" fontId="12" fillId="0" borderId="0" xfId="0" applyNumberFormat="1" applyFont="1"/>
    <xf numFmtId="0" fontId="11" fillId="0" borderId="0" xfId="0" quotePrefix="1" applyFont="1" applyAlignment="1">
      <alignment horizontal="right" vertical="center" wrapText="1"/>
    </xf>
    <xf numFmtId="0" fontId="11" fillId="0" borderId="0" xfId="0" quotePrefix="1" applyFont="1" applyAlignment="1">
      <alignment horizontal="left" vertical="center" wrapText="1"/>
    </xf>
    <xf numFmtId="4" fontId="12" fillId="0" borderId="0" xfId="0" applyNumberFormat="1" applyFont="1" applyAlignment="1">
      <alignment horizontal="center" vertical="center" wrapText="1"/>
    </xf>
    <xf numFmtId="3" fontId="12" fillId="0" borderId="16" xfId="0" applyNumberFormat="1" applyFont="1" applyBorder="1" applyAlignment="1">
      <alignment horizontal="right" vertical="center" wrapText="1"/>
    </xf>
    <xf numFmtId="3" fontId="13" fillId="0" borderId="16" xfId="0" applyNumberFormat="1" applyFont="1" applyBorder="1" applyAlignment="1">
      <alignment horizontal="right" vertical="center" wrapText="1"/>
    </xf>
    <xf numFmtId="3" fontId="14" fillId="0" borderId="14" xfId="8" applyNumberFormat="1" applyFont="1" applyFill="1" applyBorder="1" applyAlignment="1" applyProtection="1">
      <alignment horizontal="center" vertical="center"/>
      <protection locked="0"/>
    </xf>
    <xf numFmtId="3" fontId="2" fillId="0" borderId="40" xfId="0" applyNumberFormat="1" applyFont="1" applyBorder="1" applyAlignment="1">
      <alignment horizontal="right" vertical="center"/>
    </xf>
    <xf numFmtId="0" fontId="11" fillId="0" borderId="5" xfId="0" quotePrefix="1" applyFont="1" applyBorder="1" applyAlignment="1">
      <alignment horizontal="center" vertical="center" wrapText="1"/>
    </xf>
    <xf numFmtId="3" fontId="8" fillId="3" borderId="8" xfId="0" quotePrefix="1" applyNumberFormat="1" applyFont="1" applyFill="1" applyBorder="1" applyAlignment="1">
      <alignment horizontal="center" vertical="center" wrapText="1"/>
    </xf>
    <xf numFmtId="2" fontId="10" fillId="0" borderId="4" xfId="4" applyNumberFormat="1" applyBorder="1" applyAlignment="1">
      <alignment horizontal="center" vertical="center"/>
    </xf>
    <xf numFmtId="0" fontId="12" fillId="5" borderId="14" xfId="0" applyFont="1" applyFill="1" applyBorder="1" applyAlignment="1">
      <alignment vertical="center" wrapText="1"/>
    </xf>
    <xf numFmtId="3" fontId="14" fillId="0" borderId="11" xfId="2" applyNumberFormat="1" applyFont="1" applyBorder="1" applyAlignment="1">
      <alignment horizontal="left" vertical="center" wrapText="1"/>
    </xf>
    <xf numFmtId="3" fontId="9" fillId="3" borderId="8" xfId="0" quotePrefix="1" applyNumberFormat="1" applyFont="1" applyFill="1" applyBorder="1" applyAlignment="1">
      <alignment horizontal="left" vertical="center" wrapText="1"/>
    </xf>
    <xf numFmtId="3" fontId="10" fillId="0" borderId="0" xfId="2" applyNumberFormat="1" applyFont="1" applyFill="1"/>
    <xf numFmtId="0" fontId="14" fillId="0" borderId="14" xfId="7" applyBorder="1" applyAlignment="1">
      <alignment horizontal="center" vertical="center"/>
    </xf>
    <xf numFmtId="3" fontId="10" fillId="0" borderId="5" xfId="4" applyNumberFormat="1" applyBorder="1" applyAlignment="1">
      <alignment vertical="center"/>
    </xf>
    <xf numFmtId="3" fontId="11" fillId="0" borderId="5" xfId="0" quotePrefix="1" applyNumberFormat="1" applyFont="1" applyBorder="1" applyAlignment="1">
      <alignment vertical="center" wrapText="1"/>
    </xf>
    <xf numFmtId="3" fontId="13" fillId="0" borderId="5" xfId="0" applyNumberFormat="1" applyFont="1" applyBorder="1" applyAlignment="1">
      <alignment vertical="center" wrapText="1"/>
    </xf>
    <xf numFmtId="3" fontId="11" fillId="0" borderId="11" xfId="0" quotePrefix="1" applyNumberFormat="1" applyFont="1" applyBorder="1" applyAlignment="1">
      <alignment vertical="center" wrapText="1"/>
    </xf>
    <xf numFmtId="3" fontId="13" fillId="0" borderId="11" xfId="0" applyNumberFormat="1" applyFont="1" applyBorder="1" applyAlignment="1">
      <alignment vertical="center" wrapText="1"/>
    </xf>
    <xf numFmtId="0" fontId="6" fillId="0" borderId="0" xfId="0" applyFont="1" applyAlignment="1">
      <alignment horizontal="right"/>
    </xf>
    <xf numFmtId="0" fontId="1" fillId="0" borderId="0" xfId="9"/>
    <xf numFmtId="0" fontId="1" fillId="0" borderId="11" xfId="9" applyBorder="1"/>
    <xf numFmtId="170" fontId="26" fillId="0" borderId="11" xfId="9" applyNumberFormat="1" applyFont="1" applyBorder="1" applyAlignment="1">
      <alignment horizontal="center" vertical="center"/>
    </xf>
    <xf numFmtId="0" fontId="26" fillId="0" borderId="11" xfId="9" applyFont="1" applyBorder="1" applyAlignment="1">
      <alignment horizontal="center" vertical="center"/>
    </xf>
    <xf numFmtId="0" fontId="1" fillId="0" borderId="11" xfId="9" applyBorder="1" applyAlignment="1">
      <alignment horizontal="left" vertical="center"/>
    </xf>
    <xf numFmtId="0" fontId="1" fillId="0" borderId="11" xfId="9" applyBorder="1" applyAlignment="1">
      <alignment horizontal="center"/>
    </xf>
    <xf numFmtId="170" fontId="1" fillId="0" borderId="11" xfId="9" applyNumberFormat="1" applyBorder="1"/>
    <xf numFmtId="0" fontId="26" fillId="0" borderId="11" xfId="9" applyFont="1" applyBorder="1" applyAlignment="1">
      <alignment horizontal="center"/>
    </xf>
    <xf numFmtId="170" fontId="26" fillId="0" borderId="11" xfId="9" applyNumberFormat="1" applyFont="1" applyBorder="1" applyAlignment="1">
      <alignment horizontal="center"/>
    </xf>
    <xf numFmtId="0" fontId="1" fillId="8" borderId="11" xfId="9" applyFill="1" applyBorder="1" applyAlignment="1">
      <alignment horizontal="left" vertical="center"/>
    </xf>
    <xf numFmtId="0" fontId="25" fillId="0" borderId="11" xfId="9" applyFont="1" applyBorder="1" applyAlignment="1">
      <alignment horizontal="center"/>
    </xf>
    <xf numFmtId="0" fontId="25" fillId="0" borderId="11" xfId="9" applyFont="1" applyBorder="1"/>
    <xf numFmtId="0" fontId="1" fillId="0" borderId="11" xfId="9" applyBorder="1" applyAlignment="1">
      <alignment horizontal="center" vertical="center"/>
    </xf>
    <xf numFmtId="0" fontId="25" fillId="0" borderId="11" xfId="9" applyFont="1" applyBorder="1" applyAlignment="1">
      <alignment horizontal="center" vertical="center"/>
    </xf>
    <xf numFmtId="0" fontId="27" fillId="0" borderId="0" xfId="0" applyFont="1" applyAlignment="1">
      <alignment horizontal="right" vertical="center"/>
    </xf>
    <xf numFmtId="0" fontId="27" fillId="0" borderId="0" xfId="0" applyFont="1"/>
    <xf numFmtId="3" fontId="27" fillId="0" borderId="0" xfId="0" applyNumberFormat="1" applyFont="1"/>
    <xf numFmtId="0" fontId="28" fillId="0" borderId="0" xfId="0" applyFont="1" applyAlignment="1">
      <alignment horizontal="left" vertical="center"/>
    </xf>
    <xf numFmtId="0" fontId="29" fillId="0" borderId="0" xfId="0" applyFont="1"/>
    <xf numFmtId="3" fontId="29" fillId="0" borderId="0" xfId="0" applyNumberFormat="1" applyFont="1"/>
    <xf numFmtId="3" fontId="29" fillId="0" borderId="0" xfId="0" applyNumberFormat="1" applyFont="1" applyAlignment="1">
      <alignment horizontal="right"/>
    </xf>
    <xf numFmtId="0" fontId="29" fillId="0" borderId="0" xfId="0" applyFont="1" applyAlignment="1">
      <alignment horizontal="right" vertical="center"/>
    </xf>
    <xf numFmtId="0" fontId="30" fillId="0" borderId="0" xfId="0" applyFont="1" applyAlignment="1">
      <alignment horizontal="center"/>
    </xf>
    <xf numFmtId="0" fontId="31" fillId="9" borderId="31" xfId="0" applyFont="1" applyFill="1" applyBorder="1" applyAlignment="1">
      <alignment horizontal="center" vertical="center" wrapText="1"/>
    </xf>
    <xf numFmtId="0" fontId="31" fillId="9" borderId="43" xfId="0" applyFont="1" applyFill="1" applyBorder="1" applyAlignment="1">
      <alignment horizontal="center" vertical="center" wrapText="1"/>
    </xf>
    <xf numFmtId="0" fontId="31" fillId="9" borderId="44" xfId="0" applyFont="1" applyFill="1" applyBorder="1" applyAlignment="1">
      <alignment horizontal="center" vertical="center" wrapText="1"/>
    </xf>
    <xf numFmtId="3" fontId="31" fillId="9" borderId="33" xfId="0" applyNumberFormat="1" applyFont="1" applyFill="1" applyBorder="1" applyAlignment="1">
      <alignment horizontal="center" vertical="center" wrapText="1"/>
    </xf>
    <xf numFmtId="0" fontId="30" fillId="0" borderId="0" xfId="0" applyFont="1" applyAlignment="1">
      <alignment wrapText="1"/>
    </xf>
    <xf numFmtId="0" fontId="29" fillId="0" borderId="0" xfId="0" applyFont="1" applyAlignment="1">
      <alignment wrapText="1"/>
    </xf>
    <xf numFmtId="1" fontId="33" fillId="11" borderId="10" xfId="0" quotePrefix="1" applyNumberFormat="1" applyFont="1" applyFill="1" applyBorder="1" applyAlignment="1">
      <alignment horizontal="center" vertical="center" wrapText="1"/>
    </xf>
    <xf numFmtId="0" fontId="33" fillId="11" borderId="21" xfId="0" quotePrefix="1" applyFont="1" applyFill="1" applyBorder="1" applyAlignment="1">
      <alignment vertical="center" wrapText="1"/>
    </xf>
    <xf numFmtId="0" fontId="33" fillId="11" borderId="22" xfId="0" quotePrefix="1" applyFont="1" applyFill="1" applyBorder="1" applyAlignment="1">
      <alignment vertical="center" wrapText="1"/>
    </xf>
    <xf numFmtId="0" fontId="34" fillId="0" borderId="0" xfId="0" applyFont="1"/>
    <xf numFmtId="1" fontId="33" fillId="11" borderId="4" xfId="0" quotePrefix="1" applyNumberFormat="1" applyFont="1" applyFill="1" applyBorder="1" applyAlignment="1">
      <alignment horizontal="center" vertical="center" wrapText="1"/>
    </xf>
    <xf numFmtId="1" fontId="33" fillId="11" borderId="13" xfId="0" quotePrefix="1" applyNumberFormat="1" applyFont="1" applyFill="1" applyBorder="1" applyAlignment="1">
      <alignment horizontal="center" vertical="center" wrapText="1"/>
    </xf>
    <xf numFmtId="0" fontId="33" fillId="11" borderId="24" xfId="0" quotePrefix="1" applyFont="1" applyFill="1" applyBorder="1" applyAlignment="1">
      <alignment vertical="center" wrapText="1"/>
    </xf>
    <xf numFmtId="0" fontId="33" fillId="11" borderId="25" xfId="0" quotePrefix="1" applyFont="1" applyFill="1" applyBorder="1" applyAlignment="1">
      <alignment vertical="center" wrapText="1"/>
    </xf>
    <xf numFmtId="3" fontId="30" fillId="0" borderId="18" xfId="0" applyNumberFormat="1" applyFont="1" applyBorder="1" applyAlignment="1">
      <alignment horizontal="center" vertical="center"/>
    </xf>
    <xf numFmtId="3" fontId="35" fillId="0" borderId="3" xfId="0" applyNumberFormat="1" applyFont="1" applyBorder="1" applyAlignment="1">
      <alignment vertical="center"/>
    </xf>
    <xf numFmtId="3" fontId="36" fillId="0" borderId="20" xfId="5" applyNumberFormat="1" applyFont="1" applyBorder="1" applyAlignment="1">
      <alignment horizontal="left" vertical="center"/>
    </xf>
    <xf numFmtId="9" fontId="36" fillId="0" borderId="22" xfId="3" applyFont="1" applyBorder="1" applyAlignment="1">
      <alignment horizontal="right" vertical="center"/>
    </xf>
    <xf numFmtId="9" fontId="36" fillId="0" borderId="11" xfId="3" applyFont="1" applyBorder="1" applyAlignment="1">
      <alignment horizontal="center" vertical="center"/>
    </xf>
    <xf numFmtId="3" fontId="27" fillId="0" borderId="12" xfId="0" applyNumberFormat="1" applyFont="1" applyBorder="1" applyAlignment="1">
      <alignment vertical="center"/>
    </xf>
    <xf numFmtId="3" fontId="36" fillId="0" borderId="22" xfId="3" applyNumberFormat="1" applyFont="1" applyBorder="1" applyAlignment="1">
      <alignment horizontal="center" vertical="center"/>
    </xf>
    <xf numFmtId="3" fontId="36" fillId="0" borderId="11" xfId="3" applyNumberFormat="1" applyFont="1" applyBorder="1" applyAlignment="1">
      <alignment horizontal="center" vertical="center"/>
    </xf>
    <xf numFmtId="3" fontId="35" fillId="0" borderId="12" xfId="0" applyNumberFormat="1" applyFont="1" applyBorder="1" applyAlignment="1">
      <alignment vertical="center"/>
    </xf>
    <xf numFmtId="3" fontId="27" fillId="0" borderId="20" xfId="0" applyNumberFormat="1" applyFont="1" applyBorder="1" applyAlignment="1">
      <alignment horizontal="right" vertical="center" wrapText="1"/>
    </xf>
    <xf numFmtId="3" fontId="36" fillId="0" borderId="22" xfId="6" applyNumberFormat="1" applyFont="1" applyBorder="1" applyAlignment="1">
      <alignment horizontal="center" vertical="center"/>
    </xf>
    <xf numFmtId="3" fontId="36" fillId="0" borderId="30" xfId="6" applyNumberFormat="1" applyFont="1" applyBorder="1" applyAlignment="1">
      <alignment horizontal="center" vertical="center"/>
    </xf>
    <xf numFmtId="3" fontId="30" fillId="0" borderId="24" xfId="0" applyNumberFormat="1" applyFont="1" applyBorder="1" applyAlignment="1">
      <alignment horizontal="center" vertical="center"/>
    </xf>
    <xf numFmtId="3" fontId="35" fillId="0" borderId="15" xfId="0" applyNumberFormat="1" applyFont="1" applyBorder="1" applyAlignment="1">
      <alignment vertical="center"/>
    </xf>
    <xf numFmtId="1" fontId="33" fillId="11" borderId="31" xfId="0" quotePrefix="1" applyNumberFormat="1" applyFont="1" applyFill="1" applyBorder="1" applyAlignment="1">
      <alignment horizontal="center" vertical="center" wrapText="1"/>
    </xf>
    <xf numFmtId="0" fontId="33" fillId="11" borderId="45" xfId="0" quotePrefix="1" applyFont="1" applyFill="1" applyBorder="1" applyAlignment="1">
      <alignment vertical="center" wrapText="1"/>
    </xf>
    <xf numFmtId="0" fontId="33" fillId="11" borderId="44" xfId="0" quotePrefix="1" applyFont="1" applyFill="1" applyBorder="1" applyAlignment="1">
      <alignment vertical="center" wrapText="1"/>
    </xf>
    <xf numFmtId="3" fontId="34" fillId="11" borderId="33" xfId="0" applyNumberFormat="1" applyFont="1" applyFill="1" applyBorder="1"/>
    <xf numFmtId="0" fontId="34" fillId="0" borderId="0" xfId="0" applyFont="1" applyAlignment="1">
      <alignment horizontal="center" vertical="center"/>
    </xf>
    <xf numFmtId="1" fontId="33" fillId="11" borderId="7" xfId="0" quotePrefix="1" applyNumberFormat="1" applyFont="1" applyFill="1" applyBorder="1" applyAlignment="1">
      <alignment horizontal="center" vertical="center" wrapText="1"/>
    </xf>
    <xf numFmtId="0" fontId="33" fillId="11" borderId="46" xfId="0" quotePrefix="1" applyFont="1" applyFill="1" applyBorder="1" applyAlignment="1">
      <alignment vertical="center" wrapText="1"/>
    </xf>
    <xf numFmtId="0" fontId="33" fillId="11" borderId="42" xfId="0" quotePrefix="1" applyFont="1" applyFill="1" applyBorder="1" applyAlignment="1">
      <alignment vertical="center" wrapText="1"/>
    </xf>
    <xf numFmtId="0" fontId="31" fillId="10" borderId="45" xfId="0" applyFont="1" applyFill="1" applyBorder="1" applyAlignment="1">
      <alignment horizontal="center" vertical="center" wrapText="1"/>
    </xf>
    <xf numFmtId="3" fontId="32" fillId="11" borderId="45" xfId="0" quotePrefix="1" applyNumberFormat="1" applyFont="1" applyFill="1" applyBorder="1" applyAlignment="1">
      <alignment horizontal="center" vertical="center" wrapText="1"/>
    </xf>
    <xf numFmtId="44" fontId="34" fillId="11" borderId="9" xfId="12" applyFont="1" applyFill="1" applyBorder="1"/>
    <xf numFmtId="44" fontId="34" fillId="11" borderId="12" xfId="12" applyFont="1" applyFill="1" applyBorder="1"/>
    <xf numFmtId="44" fontId="34" fillId="11" borderId="6" xfId="12" applyFont="1" applyFill="1" applyBorder="1"/>
    <xf numFmtId="44" fontId="34" fillId="11" borderId="15" xfId="12" applyFont="1" applyFill="1" applyBorder="1"/>
    <xf numFmtId="44" fontId="35" fillId="0" borderId="3" xfId="12" applyFont="1" applyBorder="1" applyAlignment="1">
      <alignment vertical="center"/>
    </xf>
    <xf numFmtId="44" fontId="27" fillId="0" borderId="12" xfId="12" applyFont="1" applyBorder="1" applyAlignment="1">
      <alignment vertical="center"/>
    </xf>
    <xf numFmtId="44" fontId="35" fillId="0" borderId="12" xfId="12" applyFont="1" applyBorder="1" applyAlignment="1">
      <alignment vertical="center"/>
    </xf>
    <xf numFmtId="0" fontId="28" fillId="0" borderId="0" xfId="0" applyFont="1"/>
    <xf numFmtId="0" fontId="30" fillId="0" borderId="0" xfId="0" applyFont="1" applyAlignment="1">
      <alignment horizontal="left"/>
    </xf>
    <xf numFmtId="3" fontId="37" fillId="0" borderId="0" xfId="0" applyNumberFormat="1" applyFont="1"/>
    <xf numFmtId="164" fontId="29" fillId="0" borderId="0" xfId="0" applyNumberFormat="1" applyFont="1" applyAlignment="1">
      <alignment horizontal="right"/>
    </xf>
    <xf numFmtId="164" fontId="29" fillId="0" borderId="0" xfId="0" applyNumberFormat="1" applyFont="1"/>
    <xf numFmtId="0" fontId="31" fillId="2" borderId="1" xfId="0" applyFont="1" applyFill="1" applyBorder="1" applyAlignment="1">
      <alignment horizontal="center" vertical="center" wrapText="1"/>
    </xf>
    <xf numFmtId="0" fontId="31" fillId="2" borderId="2" xfId="0" applyFont="1" applyFill="1" applyBorder="1" applyAlignment="1">
      <alignment horizontal="center" vertical="center" wrapText="1"/>
    </xf>
    <xf numFmtId="3" fontId="31" fillId="2" borderId="3" xfId="0" applyNumberFormat="1" applyFont="1" applyFill="1" applyBorder="1" applyAlignment="1">
      <alignment horizontal="center" vertical="center" wrapText="1"/>
    </xf>
    <xf numFmtId="0" fontId="33" fillId="3" borderId="5" xfId="0" quotePrefix="1" applyFont="1" applyFill="1" applyBorder="1" applyAlignment="1">
      <alignment horizontal="left" vertical="center" wrapText="1"/>
    </xf>
    <xf numFmtId="3" fontId="33" fillId="3" borderId="5" xfId="0" quotePrefix="1" applyNumberFormat="1" applyFont="1" applyFill="1" applyBorder="1" applyAlignment="1">
      <alignment horizontal="left" vertical="center" wrapText="1"/>
    </xf>
    <xf numFmtId="3" fontId="33" fillId="3" borderId="5" xfId="0" quotePrefix="1" applyNumberFormat="1" applyFont="1" applyFill="1" applyBorder="1" applyAlignment="1">
      <alignment horizontal="center" vertical="center" wrapText="1"/>
    </xf>
    <xf numFmtId="3" fontId="33" fillId="3" borderId="6" xfId="0" quotePrefix="1" applyNumberFormat="1" applyFont="1" applyFill="1" applyBorder="1" applyAlignment="1">
      <alignment horizontal="center" vertical="center" wrapText="1"/>
    </xf>
    <xf numFmtId="0" fontId="33" fillId="3" borderId="8" xfId="0" quotePrefix="1" applyFont="1" applyFill="1" applyBorder="1" applyAlignment="1">
      <alignment horizontal="left" vertical="center" wrapText="1"/>
    </xf>
    <xf numFmtId="3" fontId="32" fillId="3" borderId="8" xfId="0" quotePrefix="1" applyNumberFormat="1" applyFont="1" applyFill="1" applyBorder="1" applyAlignment="1">
      <alignment horizontal="center" vertical="center" wrapText="1"/>
    </xf>
    <xf numFmtId="3" fontId="33" fillId="3" borderId="8" xfId="0" quotePrefix="1" applyNumberFormat="1" applyFont="1" applyFill="1" applyBorder="1" applyAlignment="1">
      <alignment horizontal="center" vertical="center" wrapText="1"/>
    </xf>
    <xf numFmtId="3" fontId="33" fillId="3" borderId="9" xfId="0" quotePrefix="1" applyNumberFormat="1" applyFont="1" applyFill="1" applyBorder="1" applyAlignment="1">
      <alignment horizontal="center" vertical="center" wrapText="1"/>
    </xf>
    <xf numFmtId="2" fontId="38" fillId="0" borderId="10" xfId="4" applyNumberFormat="1" applyFont="1" applyBorder="1" applyAlignment="1">
      <alignment horizontal="center" vertical="center"/>
    </xf>
    <xf numFmtId="3" fontId="38" fillId="0" borderId="11" xfId="2" applyNumberFormat="1" applyFont="1" applyBorder="1" applyAlignment="1">
      <alignment vertical="center" wrapText="1"/>
    </xf>
    <xf numFmtId="0" fontId="39" fillId="0" borderId="11" xfId="0" quotePrefix="1" applyFont="1" applyBorder="1" applyAlignment="1">
      <alignment horizontal="center" vertical="center" wrapText="1"/>
    </xf>
    <xf numFmtId="3" fontId="40" fillId="0" borderId="11" xfId="0" applyNumberFormat="1" applyFont="1" applyBorder="1" applyAlignment="1">
      <alignment horizontal="center" vertical="center" wrapText="1"/>
    </xf>
    <xf numFmtId="3" fontId="27" fillId="0" borderId="11" xfId="0" applyNumberFormat="1" applyFont="1" applyBorder="1" applyAlignment="1">
      <alignment horizontal="right" vertical="center" wrapText="1"/>
    </xf>
    <xf numFmtId="3" fontId="27" fillId="0" borderId="11" xfId="0" applyNumberFormat="1" applyFont="1" applyBorder="1" applyAlignment="1">
      <alignment vertical="center"/>
    </xf>
    <xf numFmtId="3" fontId="41" fillId="0" borderId="11" xfId="2" applyNumberFormat="1" applyFont="1" applyBorder="1" applyAlignment="1">
      <alignment vertical="center" wrapText="1"/>
    </xf>
    <xf numFmtId="0" fontId="40" fillId="0" borderId="11" xfId="0" applyFont="1" applyBorder="1" applyAlignment="1">
      <alignment vertical="center" wrapText="1"/>
    </xf>
    <xf numFmtId="3" fontId="40" fillId="0" borderId="11" xfId="0" applyNumberFormat="1" applyFont="1" applyBorder="1" applyAlignment="1">
      <alignment horizontal="right" vertical="center" wrapText="1"/>
    </xf>
    <xf numFmtId="3" fontId="38" fillId="0" borderId="11" xfId="2" applyNumberFormat="1" applyFont="1" applyFill="1" applyBorder="1" applyAlignment="1">
      <alignment vertical="center"/>
    </xf>
    <xf numFmtId="3" fontId="38" fillId="0" borderId="11" xfId="2" applyNumberFormat="1" applyFont="1" applyBorder="1" applyAlignment="1">
      <alignment horizontal="left" vertical="center" wrapText="1"/>
    </xf>
    <xf numFmtId="0" fontId="41" fillId="0" borderId="11" xfId="0" applyFont="1" applyBorder="1" applyAlignment="1">
      <alignment vertical="center" wrapText="1"/>
    </xf>
    <xf numFmtId="0" fontId="39" fillId="0" borderId="11" xfId="0" quotePrefix="1" applyFont="1" applyBorder="1" applyAlignment="1">
      <alignment horizontal="left" vertical="center" wrapText="1"/>
    </xf>
    <xf numFmtId="2" fontId="38" fillId="0" borderId="4" xfId="4" applyNumberFormat="1" applyFont="1" applyBorder="1" applyAlignment="1">
      <alignment horizontal="center" vertical="center"/>
    </xf>
    <xf numFmtId="3" fontId="38" fillId="0" borderId="5" xfId="2" applyNumberFormat="1" applyFont="1" applyFill="1" applyBorder="1" applyAlignment="1">
      <alignment horizontal="left" vertical="center" wrapText="1"/>
    </xf>
    <xf numFmtId="0" fontId="39" fillId="0" borderId="5" xfId="0" quotePrefix="1" applyFont="1" applyBorder="1" applyAlignment="1">
      <alignment horizontal="center" vertical="center" wrapText="1"/>
    </xf>
    <xf numFmtId="3" fontId="40" fillId="0" borderId="5" xfId="0" applyNumberFormat="1" applyFont="1" applyBorder="1" applyAlignment="1">
      <alignment horizontal="center" vertical="center" wrapText="1"/>
    </xf>
    <xf numFmtId="3" fontId="27" fillId="0" borderId="5" xfId="0" applyNumberFormat="1" applyFont="1" applyBorder="1" applyAlignment="1">
      <alignment horizontal="right" vertical="center" wrapText="1"/>
    </xf>
    <xf numFmtId="3" fontId="27" fillId="0" borderId="5" xfId="0" applyNumberFormat="1" applyFont="1" applyBorder="1" applyAlignment="1">
      <alignment vertical="center"/>
    </xf>
    <xf numFmtId="3" fontId="27" fillId="0" borderId="6" xfId="0" applyNumberFormat="1" applyFont="1" applyBorder="1" applyAlignment="1">
      <alignment vertical="center"/>
    </xf>
    <xf numFmtId="2" fontId="38" fillId="0" borderId="13" xfId="4" applyNumberFormat="1" applyFont="1" applyBorder="1" applyAlignment="1">
      <alignment horizontal="center" vertical="center"/>
    </xf>
    <xf numFmtId="3" fontId="38" fillId="5" borderId="25" xfId="2" applyNumberFormat="1" applyFont="1" applyFill="1" applyBorder="1" applyAlignment="1">
      <alignment horizontal="left" vertical="center" wrapText="1"/>
    </xf>
    <xf numFmtId="0" fontId="39" fillId="0" borderId="14" xfId="0" quotePrefix="1" applyFont="1" applyBorder="1" applyAlignment="1">
      <alignment horizontal="center" vertical="center" wrapText="1"/>
    </xf>
    <xf numFmtId="3" fontId="40" fillId="0" borderId="14" xfId="0" applyNumberFormat="1" applyFont="1" applyBorder="1" applyAlignment="1">
      <alignment horizontal="center" vertical="center" wrapText="1"/>
    </xf>
    <xf numFmtId="3" fontId="27" fillId="0" borderId="14" xfId="0" applyNumberFormat="1" applyFont="1" applyBorder="1" applyAlignment="1">
      <alignment horizontal="right" vertical="center" wrapText="1"/>
    </xf>
    <xf numFmtId="3" fontId="27" fillId="0" borderId="14" xfId="0" applyNumberFormat="1" applyFont="1" applyBorder="1" applyAlignment="1">
      <alignment vertical="center"/>
    </xf>
    <xf numFmtId="3" fontId="27" fillId="0" borderId="15" xfId="0" applyNumberFormat="1" applyFont="1" applyBorder="1" applyAlignment="1">
      <alignment vertical="center"/>
    </xf>
    <xf numFmtId="2" fontId="38" fillId="0" borderId="16" xfId="4" applyNumberFormat="1" applyFont="1" applyBorder="1" applyAlignment="1">
      <alignment horizontal="center" vertical="center"/>
    </xf>
    <xf numFmtId="3" fontId="38" fillId="0" borderId="0" xfId="2" applyNumberFormat="1" applyFont="1" applyFill="1" applyBorder="1" applyAlignment="1">
      <alignment horizontal="left" vertical="center" wrapText="1"/>
    </xf>
    <xf numFmtId="0" fontId="39" fillId="0" borderId="0" xfId="0" quotePrefix="1" applyFont="1" applyAlignment="1">
      <alignment horizontal="center" vertical="center" wrapText="1"/>
    </xf>
    <xf numFmtId="3" fontId="40" fillId="0" borderId="0" xfId="0" applyNumberFormat="1" applyFont="1" applyAlignment="1">
      <alignment horizontal="center" vertical="center" wrapText="1"/>
    </xf>
    <xf numFmtId="3" fontId="27" fillId="0" borderId="0" xfId="0" applyNumberFormat="1" applyFont="1" applyAlignment="1">
      <alignment horizontal="right" vertical="center" wrapText="1"/>
    </xf>
    <xf numFmtId="3" fontId="27" fillId="0" borderId="0" xfId="0" applyNumberFormat="1" applyFont="1" applyAlignment="1">
      <alignment vertical="center"/>
    </xf>
    <xf numFmtId="2" fontId="38" fillId="0" borderId="0" xfId="4" applyNumberFormat="1" applyFont="1" applyAlignment="1">
      <alignment horizontal="center" vertical="center"/>
    </xf>
    <xf numFmtId="3" fontId="27" fillId="0" borderId="17" xfId="0" applyNumberFormat="1" applyFont="1" applyBorder="1" applyAlignment="1">
      <alignment horizontal="right" vertical="center" wrapText="1"/>
    </xf>
    <xf numFmtId="3" fontId="27" fillId="0" borderId="18" xfId="0" applyNumberFormat="1" applyFont="1" applyBorder="1" applyAlignment="1">
      <alignment horizontal="right" vertical="center" wrapText="1"/>
    </xf>
    <xf numFmtId="3" fontId="30" fillId="0" borderId="19" xfId="0" applyNumberFormat="1" applyFont="1" applyBorder="1" applyAlignment="1">
      <alignment horizontal="right" vertical="center"/>
    </xf>
    <xf numFmtId="3" fontId="27" fillId="0" borderId="2" xfId="0" applyNumberFormat="1" applyFont="1" applyBorder="1"/>
    <xf numFmtId="3" fontId="27" fillId="0" borderId="21" xfId="0" applyNumberFormat="1" applyFont="1" applyBorder="1" applyAlignment="1">
      <alignment horizontal="right" vertical="center" wrapText="1"/>
    </xf>
    <xf numFmtId="3" fontId="27" fillId="0" borderId="22" xfId="0" applyNumberFormat="1" applyFont="1" applyBorder="1" applyAlignment="1">
      <alignment vertical="center"/>
    </xf>
    <xf numFmtId="3" fontId="36" fillId="0" borderId="11" xfId="6" applyNumberFormat="1" applyFont="1" applyBorder="1" applyAlignment="1">
      <alignment horizontal="center" vertical="center"/>
    </xf>
    <xf numFmtId="3" fontId="27" fillId="0" borderId="23" xfId="0" applyNumberFormat="1" applyFont="1" applyBorder="1" applyAlignment="1">
      <alignment horizontal="right" vertical="center" wrapText="1"/>
    </xf>
    <xf numFmtId="3" fontId="27" fillId="0" borderId="24" xfId="0" applyNumberFormat="1" applyFont="1" applyBorder="1" applyAlignment="1">
      <alignment horizontal="right" vertical="center" wrapText="1"/>
    </xf>
    <xf numFmtId="3" fontId="30" fillId="0" borderId="25" xfId="0" applyNumberFormat="1" applyFont="1" applyBorder="1" applyAlignment="1">
      <alignment horizontal="right" vertical="center"/>
    </xf>
    <xf numFmtId="0" fontId="42" fillId="0" borderId="0" xfId="0" applyFont="1" applyAlignment="1">
      <alignment horizontal="center" vertical="center"/>
    </xf>
    <xf numFmtId="0" fontId="27" fillId="0" borderId="0" xfId="0" applyFont="1" applyAlignment="1">
      <alignment vertical="center"/>
    </xf>
    <xf numFmtId="3" fontId="27" fillId="0" borderId="0" xfId="0" applyNumberFormat="1" applyFont="1" applyAlignment="1">
      <alignment horizontal="right"/>
    </xf>
    <xf numFmtId="0" fontId="43" fillId="6" borderId="11" xfId="9" applyFont="1" applyFill="1" applyBorder="1" applyAlignment="1">
      <alignment horizontal="center"/>
    </xf>
    <xf numFmtId="0" fontId="43" fillId="7" borderId="11" xfId="9" applyFont="1" applyFill="1" applyBorder="1" applyAlignment="1">
      <alignment horizontal="center"/>
    </xf>
    <xf numFmtId="0" fontId="34" fillId="0" borderId="0" xfId="9" applyFont="1"/>
    <xf numFmtId="0" fontId="43" fillId="6" borderId="29" xfId="9" applyFont="1" applyFill="1" applyBorder="1" applyAlignment="1">
      <alignment horizontal="center"/>
    </xf>
    <xf numFmtId="0" fontId="44" fillId="0" borderId="30" xfId="0" quotePrefix="1" applyFont="1" applyBorder="1" applyAlignment="1">
      <alignment vertical="center" wrapText="1"/>
    </xf>
    <xf numFmtId="0" fontId="45" fillId="0" borderId="11" xfId="9" applyFont="1" applyBorder="1" applyAlignment="1">
      <alignment horizontal="center" vertical="center"/>
    </xf>
    <xf numFmtId="167" fontId="45" fillId="0" borderId="11" xfId="9" applyNumberFormat="1" applyFont="1" applyBorder="1" applyAlignment="1">
      <alignment vertical="center"/>
    </xf>
    <xf numFmtId="167" fontId="45" fillId="0" borderId="11" xfId="10" applyNumberFormat="1" applyFont="1" applyBorder="1" applyAlignment="1">
      <alignment vertical="center"/>
    </xf>
    <xf numFmtId="167" fontId="34" fillId="0" borderId="0" xfId="9" applyNumberFormat="1" applyFont="1" applyAlignment="1">
      <alignment vertical="center"/>
    </xf>
    <xf numFmtId="167" fontId="34" fillId="0" borderId="0" xfId="9" applyNumberFormat="1" applyFont="1"/>
    <xf numFmtId="168" fontId="45" fillId="0" borderId="11" xfId="9" applyNumberFormat="1" applyFont="1" applyBorder="1" applyAlignment="1">
      <alignment horizontal="center" vertical="center"/>
    </xf>
    <xf numFmtId="2" fontId="45" fillId="0" borderId="11" xfId="9" applyNumberFormat="1" applyFont="1" applyBorder="1" applyAlignment="1">
      <alignment horizontal="center" vertical="center"/>
    </xf>
    <xf numFmtId="0" fontId="45" fillId="0" borderId="30" xfId="9" applyFont="1" applyBorder="1"/>
    <xf numFmtId="0" fontId="45" fillId="0" borderId="21" xfId="9" applyFont="1" applyBorder="1"/>
    <xf numFmtId="0" fontId="45" fillId="0" borderId="22" xfId="9" applyFont="1" applyBorder="1"/>
    <xf numFmtId="0" fontId="45" fillId="0" borderId="11" xfId="9" applyFont="1" applyBorder="1"/>
    <xf numFmtId="0" fontId="34" fillId="0" borderId="11" xfId="9" applyFont="1" applyBorder="1"/>
    <xf numFmtId="167" fontId="43" fillId="0" borderId="11" xfId="10" applyNumberFormat="1" applyFont="1" applyBorder="1" applyAlignment="1">
      <alignment vertical="center"/>
    </xf>
    <xf numFmtId="9" fontId="45" fillId="0" borderId="22" xfId="11" applyFont="1" applyBorder="1" applyAlignment="1">
      <alignment horizontal="left" vertical="center"/>
    </xf>
    <xf numFmtId="9" fontId="45" fillId="0" borderId="11" xfId="11" applyFont="1" applyFill="1" applyBorder="1" applyAlignment="1">
      <alignment horizontal="center" vertical="center"/>
    </xf>
    <xf numFmtId="0" fontId="34" fillId="0" borderId="21" xfId="9" applyFont="1" applyBorder="1"/>
    <xf numFmtId="0" fontId="34" fillId="0" borderId="22" xfId="9" applyFont="1" applyBorder="1"/>
    <xf numFmtId="167" fontId="43" fillId="0" borderId="11" xfId="9" applyNumberFormat="1" applyFont="1" applyBorder="1"/>
    <xf numFmtId="167" fontId="43" fillId="0" borderId="11" xfId="10" applyNumberFormat="1" applyFont="1" applyBorder="1"/>
    <xf numFmtId="169" fontId="34" fillId="0" borderId="0" xfId="9" applyNumberFormat="1" applyFont="1"/>
    <xf numFmtId="0" fontId="34" fillId="0" borderId="0" xfId="0" applyFont="1" applyAlignment="1">
      <alignment horizontal="center"/>
    </xf>
    <xf numFmtId="44" fontId="34" fillId="0" borderId="0" xfId="12" applyFont="1"/>
    <xf numFmtId="0" fontId="34" fillId="11" borderId="0" xfId="0" applyFont="1" applyFill="1"/>
    <xf numFmtId="44" fontId="34" fillId="11" borderId="0" xfId="12" applyFont="1" applyFill="1"/>
    <xf numFmtId="0" fontId="34" fillId="11" borderId="0" xfId="0" applyFont="1" applyFill="1" applyAlignment="1">
      <alignment horizontal="center" vertical="center"/>
    </xf>
    <xf numFmtId="0" fontId="34" fillId="11" borderId="0" xfId="0" applyFont="1" applyFill="1" applyAlignment="1">
      <alignment horizontal="center"/>
    </xf>
    <xf numFmtId="44" fontId="34" fillId="11" borderId="0" xfId="12" applyFont="1" applyFill="1" applyAlignment="1">
      <alignment horizontal="center"/>
    </xf>
    <xf numFmtId="0" fontId="46" fillId="7" borderId="31" xfId="0" applyFont="1" applyFill="1" applyBorder="1" applyAlignment="1">
      <alignment horizontal="center" vertical="center" wrapText="1"/>
    </xf>
    <xf numFmtId="0" fontId="46" fillId="7" borderId="32" xfId="0" applyFont="1" applyFill="1" applyBorder="1" applyAlignment="1">
      <alignment horizontal="center" vertical="center" wrapText="1"/>
    </xf>
    <xf numFmtId="0" fontId="46" fillId="7" borderId="33" xfId="0" applyFont="1" applyFill="1" applyBorder="1" applyAlignment="1">
      <alignment horizontal="center" vertical="center" wrapText="1"/>
    </xf>
    <xf numFmtId="44" fontId="34" fillId="11" borderId="48" xfId="12" applyFont="1" applyFill="1" applyBorder="1" applyAlignment="1">
      <alignment horizontal="center" vertical="center"/>
    </xf>
    <xf numFmtId="44" fontId="34" fillId="11" borderId="51" xfId="12" applyFont="1" applyFill="1" applyBorder="1" applyAlignment="1">
      <alignment horizontal="center" vertical="center"/>
    </xf>
    <xf numFmtId="44" fontId="34" fillId="11" borderId="54" xfId="12" applyFont="1" applyFill="1" applyBorder="1" applyAlignment="1">
      <alignment horizontal="center" vertical="center"/>
    </xf>
    <xf numFmtId="44" fontId="48" fillId="11" borderId="57" xfId="12" applyFont="1" applyFill="1" applyBorder="1" applyAlignment="1">
      <alignment horizontal="center" vertical="center"/>
    </xf>
    <xf numFmtId="44" fontId="48" fillId="11" borderId="56" xfId="12" applyFont="1" applyFill="1" applyBorder="1" applyAlignment="1">
      <alignment horizontal="center" vertical="center"/>
    </xf>
    <xf numFmtId="44" fontId="48" fillId="11" borderId="57" xfId="0" applyNumberFormat="1" applyFont="1" applyFill="1" applyBorder="1" applyAlignment="1">
      <alignment horizontal="center" vertical="center"/>
    </xf>
    <xf numFmtId="44" fontId="48" fillId="11" borderId="58" xfId="0" applyNumberFormat="1" applyFont="1" applyFill="1" applyBorder="1" applyAlignment="1">
      <alignment horizontal="center" vertical="center"/>
    </xf>
    <xf numFmtId="0" fontId="34" fillId="11" borderId="47" xfId="0" applyFont="1" applyFill="1" applyBorder="1" applyAlignment="1">
      <alignment horizontal="center" vertical="center"/>
    </xf>
    <xf numFmtId="44" fontId="34" fillId="11" borderId="49" xfId="0" applyNumberFormat="1" applyFont="1" applyFill="1" applyBorder="1" applyAlignment="1">
      <alignment horizontal="center" vertical="center"/>
    </xf>
    <xf numFmtId="0" fontId="34" fillId="11" borderId="50" xfId="0" applyFont="1" applyFill="1" applyBorder="1" applyAlignment="1">
      <alignment horizontal="center" vertical="center"/>
    </xf>
    <xf numFmtId="44" fontId="34" fillId="11" borderId="52" xfId="0" applyNumberFormat="1" applyFont="1" applyFill="1" applyBorder="1" applyAlignment="1">
      <alignment horizontal="center" vertical="center"/>
    </xf>
    <xf numFmtId="44" fontId="34" fillId="11" borderId="50" xfId="12" applyFont="1" applyFill="1" applyBorder="1" applyAlignment="1">
      <alignment horizontal="center" vertical="center"/>
    </xf>
    <xf numFmtId="44" fontId="34" fillId="11" borderId="51" xfId="0" applyNumberFormat="1" applyFont="1" applyFill="1" applyBorder="1" applyAlignment="1">
      <alignment horizontal="center" vertical="center"/>
    </xf>
    <xf numFmtId="44" fontId="34" fillId="11" borderId="53" xfId="12" applyFont="1" applyFill="1" applyBorder="1" applyAlignment="1">
      <alignment horizontal="center" vertical="center"/>
    </xf>
    <xf numFmtId="44" fontId="34" fillId="11" borderId="54" xfId="0" applyNumberFormat="1" applyFont="1" applyFill="1" applyBorder="1" applyAlignment="1">
      <alignment horizontal="center" vertical="center"/>
    </xf>
    <xf numFmtId="44" fontId="34" fillId="11" borderId="55" xfId="0" applyNumberFormat="1" applyFont="1" applyFill="1" applyBorder="1" applyAlignment="1">
      <alignment horizontal="center" vertical="center"/>
    </xf>
    <xf numFmtId="3" fontId="30" fillId="0" borderId="17" xfId="0" applyNumberFormat="1" applyFont="1" applyBorder="1" applyAlignment="1">
      <alignment horizontal="center" vertical="center"/>
    </xf>
    <xf numFmtId="3" fontId="30" fillId="0" borderId="19" xfId="0" applyNumberFormat="1" applyFont="1" applyBorder="1" applyAlignment="1">
      <alignment horizontal="center" vertical="center"/>
    </xf>
    <xf numFmtId="3" fontId="30" fillId="0" borderId="23" xfId="0" applyNumberFormat="1" applyFont="1" applyBorder="1" applyAlignment="1">
      <alignment horizontal="center" vertical="center"/>
    </xf>
    <xf numFmtId="3" fontId="30" fillId="0" borderId="25" xfId="0" applyNumberFormat="1" applyFont="1" applyBorder="1" applyAlignment="1">
      <alignment horizontal="center" vertical="center"/>
    </xf>
    <xf numFmtId="0" fontId="25" fillId="0" borderId="11" xfId="9" applyFont="1" applyBorder="1" applyAlignment="1">
      <alignment horizontal="center"/>
    </xf>
    <xf numFmtId="0" fontId="1" fillId="0" borderId="11" xfId="9" applyBorder="1" applyAlignment="1">
      <alignment horizontal="center" vertical="center"/>
    </xf>
    <xf numFmtId="14" fontId="25" fillId="0" borderId="11" xfId="9" applyNumberFormat="1" applyFont="1" applyBorder="1" applyAlignment="1">
      <alignment horizontal="center"/>
    </xf>
    <xf numFmtId="0" fontId="1" fillId="0" borderId="11" xfId="9" applyBorder="1" applyAlignment="1">
      <alignment horizontal="center"/>
    </xf>
    <xf numFmtId="0" fontId="25" fillId="0" borderId="11" xfId="9" applyFont="1" applyBorder="1" applyAlignment="1">
      <alignment horizontal="center" vertical="center"/>
    </xf>
    <xf numFmtId="0" fontId="43" fillId="6" borderId="5" xfId="9" applyFont="1" applyFill="1" applyBorder="1" applyAlignment="1">
      <alignment horizontal="center" vertical="center"/>
    </xf>
    <xf numFmtId="0" fontId="43" fillId="6" borderId="8" xfId="9" applyFont="1" applyFill="1" applyBorder="1" applyAlignment="1">
      <alignment horizontal="center" vertical="center"/>
    </xf>
    <xf numFmtId="0" fontId="43" fillId="6" borderId="38" xfId="9" applyFont="1" applyFill="1" applyBorder="1" applyAlignment="1">
      <alignment horizontal="center" vertical="center"/>
    </xf>
    <xf numFmtId="0" fontId="43" fillId="6" borderId="39" xfId="9" applyFont="1" applyFill="1" applyBorder="1" applyAlignment="1">
      <alignment horizontal="center" vertical="center"/>
    </xf>
    <xf numFmtId="0" fontId="43" fillId="6" borderId="41" xfId="9" applyFont="1" applyFill="1" applyBorder="1" applyAlignment="1">
      <alignment horizontal="center" vertical="center"/>
    </xf>
    <xf numFmtId="0" fontId="43" fillId="6" borderId="42" xfId="9" applyFont="1" applyFill="1" applyBorder="1" applyAlignment="1">
      <alignment horizontal="center" vertical="center"/>
    </xf>
    <xf numFmtId="0" fontId="43" fillId="6" borderId="30" xfId="9" applyFont="1" applyFill="1" applyBorder="1" applyAlignment="1">
      <alignment horizontal="center"/>
    </xf>
    <xf numFmtId="0" fontId="43" fillId="6" borderId="22" xfId="9" applyFont="1" applyFill="1" applyBorder="1" applyAlignment="1">
      <alignment horizontal="center"/>
    </xf>
    <xf numFmtId="0" fontId="43" fillId="6" borderId="5" xfId="9" applyFont="1" applyFill="1" applyBorder="1" applyAlignment="1">
      <alignment horizontal="center" wrapText="1"/>
    </xf>
    <xf numFmtId="0" fontId="43" fillId="6" borderId="8" xfId="9" applyFont="1" applyFill="1" applyBorder="1" applyAlignment="1">
      <alignment horizontal="center" wrapText="1"/>
    </xf>
    <xf numFmtId="0" fontId="43" fillId="6" borderId="5" xfId="9" applyFont="1" applyFill="1" applyBorder="1" applyAlignment="1">
      <alignment horizontal="center"/>
    </xf>
    <xf numFmtId="0" fontId="43" fillId="6" borderId="8" xfId="9" applyFont="1" applyFill="1" applyBorder="1" applyAlignment="1">
      <alignment horizontal="center"/>
    </xf>
    <xf numFmtId="0" fontId="45" fillId="0" borderId="30" xfId="9" applyFont="1" applyBorder="1" applyAlignment="1">
      <alignment horizontal="center" vertical="center"/>
    </xf>
    <xf numFmtId="0" fontId="45" fillId="0" borderId="22" xfId="9" applyFont="1" applyBorder="1" applyAlignment="1">
      <alignment horizontal="center" vertical="center"/>
    </xf>
    <xf numFmtId="0" fontId="43" fillId="0" borderId="30" xfId="9" applyFont="1" applyBorder="1" applyAlignment="1">
      <alignment horizontal="left" vertical="center"/>
    </xf>
    <xf numFmtId="0" fontId="43" fillId="0" borderId="21" xfId="9" applyFont="1" applyBorder="1" applyAlignment="1">
      <alignment horizontal="left" vertical="center"/>
    </xf>
    <xf numFmtId="0" fontId="43" fillId="0" borderId="22" xfId="9" applyFont="1" applyBorder="1" applyAlignment="1">
      <alignment horizontal="left" vertical="center"/>
    </xf>
    <xf numFmtId="0" fontId="43" fillId="0" borderId="30" xfId="9" applyFont="1" applyBorder="1" applyAlignment="1">
      <alignment horizontal="left"/>
    </xf>
    <xf numFmtId="0" fontId="43" fillId="0" borderId="21" xfId="9" applyFont="1" applyBorder="1" applyAlignment="1">
      <alignment horizontal="left"/>
    </xf>
    <xf numFmtId="0" fontId="43" fillId="0" borderId="22" xfId="9" applyFont="1" applyBorder="1" applyAlignment="1">
      <alignment horizontal="left"/>
    </xf>
    <xf numFmtId="0" fontId="34" fillId="0" borderId="30" xfId="9" applyFont="1" applyBorder="1" applyAlignment="1">
      <alignment horizontal="center"/>
    </xf>
    <xf numFmtId="0" fontId="34" fillId="0" borderId="21" xfId="9" applyFont="1" applyBorder="1" applyAlignment="1">
      <alignment horizontal="center"/>
    </xf>
    <xf numFmtId="3" fontId="31" fillId="2" borderId="2" xfId="0" applyNumberFormat="1" applyFont="1" applyFill="1" applyBorder="1" applyAlignment="1">
      <alignment horizontal="center" vertical="center" wrapText="1"/>
    </xf>
    <xf numFmtId="2" fontId="32" fillId="3" borderId="4" xfId="0" quotePrefix="1" applyNumberFormat="1" applyFont="1" applyFill="1" applyBorder="1" applyAlignment="1">
      <alignment horizontal="center" vertical="center" wrapText="1"/>
    </xf>
    <xf numFmtId="2" fontId="32" fillId="3" borderId="7" xfId="0" quotePrefix="1" applyNumberFormat="1" applyFont="1" applyFill="1" applyBorder="1" applyAlignment="1">
      <alignment horizontal="center" vertical="center" wrapText="1"/>
    </xf>
    <xf numFmtId="0" fontId="32" fillId="3" borderId="5" xfId="0" quotePrefix="1" applyFont="1" applyFill="1" applyBorder="1" applyAlignment="1">
      <alignment horizontal="center" vertical="center" wrapText="1"/>
    </xf>
    <xf numFmtId="0" fontId="32" fillId="3" borderId="8" xfId="0" quotePrefix="1" applyFont="1" applyFill="1" applyBorder="1" applyAlignment="1">
      <alignment horizontal="center" vertical="center" wrapText="1"/>
    </xf>
    <xf numFmtId="0" fontId="7" fillId="2" borderId="2"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2" fontId="8" fillId="3" borderId="4" xfId="0" quotePrefix="1" applyNumberFormat="1" applyFont="1" applyFill="1" applyBorder="1" applyAlignment="1">
      <alignment horizontal="center" vertical="center" wrapText="1"/>
    </xf>
    <xf numFmtId="2" fontId="8" fillId="3" borderId="7" xfId="0" quotePrefix="1" applyNumberFormat="1" applyFont="1" applyFill="1" applyBorder="1" applyAlignment="1">
      <alignment horizontal="center" vertical="center" wrapText="1"/>
    </xf>
    <xf numFmtId="0" fontId="8" fillId="3" borderId="5" xfId="0" quotePrefix="1" applyFont="1" applyFill="1" applyBorder="1" applyAlignment="1">
      <alignment horizontal="center" vertical="center" wrapText="1"/>
    </xf>
    <xf numFmtId="0" fontId="8" fillId="3" borderId="8" xfId="0" quotePrefix="1" applyFont="1" applyFill="1" applyBorder="1" applyAlignment="1">
      <alignment horizontal="center" vertical="center" wrapText="1"/>
    </xf>
    <xf numFmtId="0" fontId="19" fillId="2" borderId="2" xfId="0" applyFont="1" applyFill="1" applyBorder="1" applyAlignment="1">
      <alignment horizontal="center" vertical="center" wrapText="1"/>
    </xf>
    <xf numFmtId="2" fontId="8" fillId="3" borderId="28" xfId="0" quotePrefix="1" applyNumberFormat="1" applyFont="1" applyFill="1" applyBorder="1" applyAlignment="1">
      <alignment horizontal="center" vertical="center" wrapText="1"/>
    </xf>
    <xf numFmtId="0" fontId="8" fillId="3" borderId="34" xfId="0" quotePrefix="1" applyFont="1" applyFill="1" applyBorder="1" applyAlignment="1">
      <alignment horizontal="center" vertical="center" wrapText="1"/>
    </xf>
  </cellXfs>
  <cellStyles count="13">
    <cellStyle name="Comma [0]_Hoja de Calculo A&amp;C Andina" xfId="8" xr:uid="{3B53E992-1AA1-43A6-871D-8B3636C7B6EB}"/>
    <cellStyle name="Millares" xfId="1" builtinId="3"/>
    <cellStyle name="Millares 2 16" xfId="5" xr:uid="{5A02A39F-DDD1-4D4D-801B-E2F7AF1B484B}"/>
    <cellStyle name="Moneda" xfId="12" builtinId="4"/>
    <cellStyle name="Moneda [0]" xfId="2" builtinId="7"/>
    <cellStyle name="Moneda 2" xfId="10" xr:uid="{4A5FFDA1-1193-4224-BA58-5A2E1242C5B4}"/>
    <cellStyle name="Normal" xfId="0" builtinId="0"/>
    <cellStyle name="Normal 2" xfId="4" xr:uid="{EAE93AC4-73D3-4B84-A735-F33C7F2AA912}"/>
    <cellStyle name="Normal 3" xfId="9" xr:uid="{39AE4C05-3C52-44C1-8C9A-AADE12F3584C}"/>
    <cellStyle name="Normal_Hoja de Calculo A&amp;C Andina" xfId="7" xr:uid="{CAE01AF4-ECE7-434B-89F2-283D5FC8833C}"/>
    <cellStyle name="Porcentaje" xfId="3" builtinId="5"/>
    <cellStyle name="Porcentaje 2" xfId="11" xr:uid="{104C2995-18DB-457A-9679-17C3C86CFE25}"/>
    <cellStyle name="Porcentaje 4" xfId="6" xr:uid="{37374F49-A625-49C4-A14E-847665E700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76B3-1C9C-447E-8732-F4DEE63A4B86}">
  <dimension ref="A1:J28"/>
  <sheetViews>
    <sheetView zoomScale="80" zoomScaleNormal="80" workbookViewId="0">
      <selection activeCell="J23" sqref="J23"/>
    </sheetView>
  </sheetViews>
  <sheetFormatPr baseColWidth="10" defaultColWidth="0" defaultRowHeight="15" zeroHeight="1" x14ac:dyDescent="0.25"/>
  <cols>
    <col min="1" max="1" width="10.625" style="214" customWidth="1"/>
    <col min="2" max="2" width="19.25" style="339" bestFit="1" customWidth="1"/>
    <col min="3" max="3" width="23.625" style="214" bestFit="1" customWidth="1"/>
    <col min="4" max="4" width="21.625" style="214" customWidth="1"/>
    <col min="5" max="8" width="21.625" style="237" customWidth="1"/>
    <col min="9" max="9" width="21.625" style="214" customWidth="1"/>
    <col min="10" max="10" width="19.25" style="339" bestFit="1" customWidth="1"/>
    <col min="11" max="16384" width="10.625" style="214" hidden="1"/>
  </cols>
  <sheetData>
    <row r="1" spans="1:10" x14ac:dyDescent="0.25">
      <c r="A1" s="340"/>
      <c r="B1" s="341"/>
      <c r="C1" s="340"/>
      <c r="D1" s="340"/>
      <c r="E1" s="342"/>
      <c r="F1" s="342"/>
      <c r="G1" s="342"/>
      <c r="H1" s="342"/>
      <c r="I1" s="340"/>
      <c r="J1" s="341"/>
    </row>
    <row r="2" spans="1:10" x14ac:dyDescent="0.25">
      <c r="A2" s="340"/>
      <c r="B2" s="341"/>
      <c r="C2" s="340"/>
      <c r="D2" s="340"/>
      <c r="E2" s="342"/>
      <c r="F2" s="342"/>
      <c r="G2" s="342"/>
      <c r="H2" s="342"/>
      <c r="I2" s="340"/>
      <c r="J2" s="341"/>
    </row>
    <row r="3" spans="1:10" x14ac:dyDescent="0.25">
      <c r="A3" s="340"/>
      <c r="B3" s="341"/>
      <c r="C3" s="340"/>
      <c r="D3" s="340"/>
      <c r="E3" s="342"/>
      <c r="F3" s="342"/>
      <c r="G3" s="342"/>
      <c r="H3" s="342"/>
      <c r="I3" s="340"/>
      <c r="J3" s="341"/>
    </row>
    <row r="4" spans="1:10" ht="15.75" thickBot="1" x14ac:dyDescent="0.3">
      <c r="A4" s="340"/>
      <c r="B4" s="341"/>
      <c r="C4" s="340"/>
      <c r="D4" s="340"/>
      <c r="E4" s="342"/>
      <c r="F4" s="342"/>
      <c r="G4" s="342"/>
      <c r="H4" s="342"/>
      <c r="I4" s="340"/>
      <c r="J4" s="341"/>
    </row>
    <row r="5" spans="1:10" ht="48" customHeight="1" thickBot="1" x14ac:dyDescent="0.3">
      <c r="A5" s="340"/>
      <c r="B5" s="341"/>
      <c r="C5" s="345" t="s">
        <v>481</v>
      </c>
      <c r="D5" s="346" t="s">
        <v>405</v>
      </c>
      <c r="E5" s="346" t="s">
        <v>460</v>
      </c>
      <c r="F5" s="346" t="s">
        <v>461</v>
      </c>
      <c r="G5" s="346" t="s">
        <v>462</v>
      </c>
      <c r="H5" s="346" t="s">
        <v>463</v>
      </c>
      <c r="I5" s="347" t="s">
        <v>9</v>
      </c>
      <c r="J5" s="341"/>
    </row>
    <row r="6" spans="1:10" ht="5.25" customHeight="1" thickBot="1" x14ac:dyDescent="0.3">
      <c r="A6" s="340"/>
      <c r="B6" s="341"/>
      <c r="C6" s="340"/>
      <c r="D6" s="340"/>
      <c r="E6" s="342"/>
      <c r="F6" s="342"/>
      <c r="G6" s="342"/>
      <c r="H6" s="342"/>
      <c r="I6" s="340"/>
      <c r="J6" s="341"/>
    </row>
    <row r="7" spans="1:10" s="338" customFormat="1" ht="20.100000000000001" customHeight="1" x14ac:dyDescent="0.25">
      <c r="A7" s="343"/>
      <c r="B7" s="344"/>
      <c r="C7" s="355" t="s">
        <v>467</v>
      </c>
      <c r="D7" s="348">
        <f>ROUND(UUFF!E17,2)</f>
        <v>16466883151.9</v>
      </c>
      <c r="E7" s="348">
        <f>ROUND((D7*22%),2)</f>
        <v>3622714293.4200001</v>
      </c>
      <c r="F7" s="348">
        <f>ROUND((D7*4%),2)</f>
        <v>658675326.08000004</v>
      </c>
      <c r="G7" s="348">
        <f>ROUND((D7*4%),2)</f>
        <v>658675326.08000004</v>
      </c>
      <c r="H7" s="348">
        <f>ROUND((G7*19%),2)</f>
        <v>125148311.95999999</v>
      </c>
      <c r="I7" s="356">
        <f>SUM(D7:H7)</f>
        <v>21532096409.440002</v>
      </c>
      <c r="J7" s="344"/>
    </row>
    <row r="8" spans="1:10" s="338" customFormat="1" ht="20.100000000000001" customHeight="1" x14ac:dyDescent="0.25">
      <c r="A8" s="343"/>
      <c r="B8" s="344"/>
      <c r="C8" s="357" t="s">
        <v>468</v>
      </c>
      <c r="D8" s="349">
        <f>ROUND(UUFF!G17,2)</f>
        <v>625300243.16999996</v>
      </c>
      <c r="E8" s="349">
        <f t="shared" ref="E8:E20" si="0">ROUND((D8*22%),2)</f>
        <v>137566053.5</v>
      </c>
      <c r="F8" s="349">
        <f t="shared" ref="F8:F20" si="1">ROUND((D8*4%),2)</f>
        <v>25012009.73</v>
      </c>
      <c r="G8" s="349">
        <f t="shared" ref="G8:G20" si="2">ROUND((D8*4%),2)</f>
        <v>25012009.73</v>
      </c>
      <c r="H8" s="349">
        <f t="shared" ref="H8:H20" si="3">ROUND((G8*19%),2)</f>
        <v>4752281.8499999996</v>
      </c>
      <c r="I8" s="358">
        <f t="shared" ref="I8:I20" si="4">SUM(D8:H8)</f>
        <v>817642597.98000002</v>
      </c>
      <c r="J8" s="344"/>
    </row>
    <row r="9" spans="1:10" s="338" customFormat="1" ht="20.100000000000001" customHeight="1" x14ac:dyDescent="0.25">
      <c r="A9" s="343"/>
      <c r="B9" s="344"/>
      <c r="C9" s="357" t="s">
        <v>469</v>
      </c>
      <c r="D9" s="349">
        <f>ROUND(UUFF!I17,2)</f>
        <v>2233376994.9099998</v>
      </c>
      <c r="E9" s="349">
        <f t="shared" si="0"/>
        <v>491342938.88</v>
      </c>
      <c r="F9" s="349">
        <f t="shared" si="1"/>
        <v>89335079.799999997</v>
      </c>
      <c r="G9" s="349">
        <f t="shared" si="2"/>
        <v>89335079.799999997</v>
      </c>
      <c r="H9" s="349">
        <f t="shared" si="3"/>
        <v>16973665.16</v>
      </c>
      <c r="I9" s="358">
        <f t="shared" si="4"/>
        <v>2920363758.5500002</v>
      </c>
      <c r="J9" s="344"/>
    </row>
    <row r="10" spans="1:10" s="338" customFormat="1" ht="20.100000000000001" customHeight="1" x14ac:dyDescent="0.25">
      <c r="A10" s="343"/>
      <c r="B10" s="344"/>
      <c r="C10" s="357" t="s">
        <v>470</v>
      </c>
      <c r="D10" s="349">
        <f>ROUND(UUFF!K17,2)</f>
        <v>1396382003.3699999</v>
      </c>
      <c r="E10" s="349">
        <f t="shared" si="0"/>
        <v>307204040.74000001</v>
      </c>
      <c r="F10" s="349">
        <f t="shared" si="1"/>
        <v>55855280.130000003</v>
      </c>
      <c r="G10" s="349">
        <f t="shared" si="2"/>
        <v>55855280.130000003</v>
      </c>
      <c r="H10" s="349">
        <f t="shared" si="3"/>
        <v>10612503.220000001</v>
      </c>
      <c r="I10" s="358">
        <f t="shared" si="4"/>
        <v>1825909107.5900002</v>
      </c>
      <c r="J10" s="344"/>
    </row>
    <row r="11" spans="1:10" s="338" customFormat="1" ht="20.100000000000001" customHeight="1" x14ac:dyDescent="0.25">
      <c r="A11" s="343"/>
      <c r="B11" s="344"/>
      <c r="C11" s="357" t="s">
        <v>471</v>
      </c>
      <c r="D11" s="349">
        <f>ROUND(UUFF!M17,2)</f>
        <v>1237422287.6199999</v>
      </c>
      <c r="E11" s="349">
        <f t="shared" si="0"/>
        <v>272232903.27999997</v>
      </c>
      <c r="F11" s="349">
        <f t="shared" si="1"/>
        <v>49496891.5</v>
      </c>
      <c r="G11" s="349">
        <f t="shared" si="2"/>
        <v>49496891.5</v>
      </c>
      <c r="H11" s="349">
        <f t="shared" si="3"/>
        <v>9404409.3900000006</v>
      </c>
      <c r="I11" s="358">
        <f t="shared" si="4"/>
        <v>1618053383.29</v>
      </c>
      <c r="J11" s="344"/>
    </row>
    <row r="12" spans="1:10" s="338" customFormat="1" ht="20.100000000000001" customHeight="1" x14ac:dyDescent="0.25">
      <c r="A12" s="343"/>
      <c r="B12" s="344"/>
      <c r="C12" s="357" t="s">
        <v>472</v>
      </c>
      <c r="D12" s="349">
        <f>ROUND(UUFF!O17,2)</f>
        <v>5112369806.6499996</v>
      </c>
      <c r="E12" s="349">
        <f t="shared" si="0"/>
        <v>1124721357.46</v>
      </c>
      <c r="F12" s="349">
        <f t="shared" si="1"/>
        <v>204494792.27000001</v>
      </c>
      <c r="G12" s="349">
        <f t="shared" si="2"/>
        <v>204494792.27000001</v>
      </c>
      <c r="H12" s="349">
        <f t="shared" si="3"/>
        <v>38854010.530000001</v>
      </c>
      <c r="I12" s="358">
        <f t="shared" si="4"/>
        <v>6684934759.1800003</v>
      </c>
      <c r="J12" s="344"/>
    </row>
    <row r="13" spans="1:10" s="338" customFormat="1" ht="20.100000000000001" customHeight="1" x14ac:dyDescent="0.25">
      <c r="A13" s="343"/>
      <c r="B13" s="344"/>
      <c r="C13" s="357" t="s">
        <v>473</v>
      </c>
      <c r="D13" s="349">
        <f>ROUND(UUFF!R17,2)</f>
        <v>1165785893.3499999</v>
      </c>
      <c r="E13" s="349">
        <f t="shared" si="0"/>
        <v>256472896.53999999</v>
      </c>
      <c r="F13" s="349">
        <f t="shared" si="1"/>
        <v>46631435.729999997</v>
      </c>
      <c r="G13" s="349">
        <f t="shared" si="2"/>
        <v>46631435.729999997</v>
      </c>
      <c r="H13" s="349">
        <f t="shared" si="3"/>
        <v>8859972.7899999991</v>
      </c>
      <c r="I13" s="358">
        <f t="shared" si="4"/>
        <v>1524381634.1399999</v>
      </c>
      <c r="J13" s="344"/>
    </row>
    <row r="14" spans="1:10" s="338" customFormat="1" ht="20.100000000000001" customHeight="1" x14ac:dyDescent="0.25">
      <c r="A14" s="343"/>
      <c r="B14" s="344"/>
      <c r="C14" s="357" t="s">
        <v>474</v>
      </c>
      <c r="D14" s="349">
        <f>ROUND(UUFF!T17,2)</f>
        <v>1551973451.8399999</v>
      </c>
      <c r="E14" s="349">
        <f t="shared" si="0"/>
        <v>341434159.39999998</v>
      </c>
      <c r="F14" s="349">
        <f t="shared" si="1"/>
        <v>62078938.07</v>
      </c>
      <c r="G14" s="349">
        <f t="shared" si="2"/>
        <v>62078938.07</v>
      </c>
      <c r="H14" s="349">
        <f t="shared" si="3"/>
        <v>11794998.23</v>
      </c>
      <c r="I14" s="358">
        <f t="shared" si="4"/>
        <v>2029360485.6099997</v>
      </c>
      <c r="J14" s="344"/>
    </row>
    <row r="15" spans="1:10" s="338" customFormat="1" ht="20.100000000000001" customHeight="1" x14ac:dyDescent="0.25">
      <c r="A15" s="343"/>
      <c r="B15" s="344"/>
      <c r="C15" s="357" t="s">
        <v>475</v>
      </c>
      <c r="D15" s="349">
        <f>ROUND(UUFF!V17,2)</f>
        <v>1094492816.28</v>
      </c>
      <c r="E15" s="349">
        <f t="shared" si="0"/>
        <v>240788419.58000001</v>
      </c>
      <c r="F15" s="349">
        <f t="shared" si="1"/>
        <v>43779712.649999999</v>
      </c>
      <c r="G15" s="349">
        <f t="shared" si="2"/>
        <v>43779712.649999999</v>
      </c>
      <c r="H15" s="349">
        <f t="shared" si="3"/>
        <v>8318145.4000000004</v>
      </c>
      <c r="I15" s="358">
        <f t="shared" si="4"/>
        <v>1431158806.5600002</v>
      </c>
      <c r="J15" s="344"/>
    </row>
    <row r="16" spans="1:10" s="338" customFormat="1" ht="20.100000000000001" customHeight="1" x14ac:dyDescent="0.25">
      <c r="A16" s="343"/>
      <c r="B16" s="344"/>
      <c r="C16" s="357" t="s">
        <v>476</v>
      </c>
      <c r="D16" s="349">
        <f>ROUND(UUFF!X17,2)</f>
        <v>1015129795.65</v>
      </c>
      <c r="E16" s="349">
        <f t="shared" si="0"/>
        <v>223328555.03999999</v>
      </c>
      <c r="F16" s="349">
        <f t="shared" si="1"/>
        <v>40605191.829999998</v>
      </c>
      <c r="G16" s="349">
        <f t="shared" si="2"/>
        <v>40605191.829999998</v>
      </c>
      <c r="H16" s="349">
        <f t="shared" si="3"/>
        <v>7714986.4500000002</v>
      </c>
      <c r="I16" s="358">
        <f t="shared" si="4"/>
        <v>1327383720.8</v>
      </c>
      <c r="J16" s="344"/>
    </row>
    <row r="17" spans="1:10" s="338" customFormat="1" ht="20.100000000000001" customHeight="1" x14ac:dyDescent="0.25">
      <c r="A17" s="343"/>
      <c r="B17" s="344"/>
      <c r="C17" s="357" t="s">
        <v>477</v>
      </c>
      <c r="D17" s="349">
        <f>ROUND(UUFF!Z17,2)</f>
        <v>1191111235.6800001</v>
      </c>
      <c r="E17" s="349">
        <f t="shared" si="0"/>
        <v>262044471.84999999</v>
      </c>
      <c r="F17" s="349">
        <f t="shared" si="1"/>
        <v>47644449.43</v>
      </c>
      <c r="G17" s="349">
        <f t="shared" si="2"/>
        <v>47644449.43</v>
      </c>
      <c r="H17" s="349">
        <f t="shared" si="3"/>
        <v>9052445.3900000006</v>
      </c>
      <c r="I17" s="358">
        <f t="shared" si="4"/>
        <v>1557497051.7800002</v>
      </c>
      <c r="J17" s="344"/>
    </row>
    <row r="18" spans="1:10" s="338" customFormat="1" ht="20.100000000000001" customHeight="1" x14ac:dyDescent="0.25">
      <c r="A18" s="343"/>
      <c r="B18" s="344"/>
      <c r="C18" s="357" t="s">
        <v>478</v>
      </c>
      <c r="D18" s="349">
        <f>ROUND(UUFF!AB17,2)</f>
        <v>4007725121.4499998</v>
      </c>
      <c r="E18" s="349">
        <f t="shared" si="0"/>
        <v>881699526.72000003</v>
      </c>
      <c r="F18" s="349">
        <f t="shared" si="1"/>
        <v>160309004.86000001</v>
      </c>
      <c r="G18" s="349">
        <f t="shared" si="2"/>
        <v>160309004.86000001</v>
      </c>
      <c r="H18" s="349">
        <f t="shared" si="3"/>
        <v>30458710.920000002</v>
      </c>
      <c r="I18" s="358">
        <f t="shared" si="4"/>
        <v>5240501368.8099995</v>
      </c>
      <c r="J18" s="344"/>
    </row>
    <row r="19" spans="1:10" s="338" customFormat="1" ht="20.100000000000001" customHeight="1" x14ac:dyDescent="0.25">
      <c r="A19" s="343"/>
      <c r="B19" s="344"/>
      <c r="C19" s="357" t="s">
        <v>479</v>
      </c>
      <c r="D19" s="349">
        <f>ROUND(UUFF!AD17,2)</f>
        <v>2168640424.8299999</v>
      </c>
      <c r="E19" s="349">
        <f t="shared" si="0"/>
        <v>477100893.45999998</v>
      </c>
      <c r="F19" s="349">
        <f t="shared" si="1"/>
        <v>86745616.989999995</v>
      </c>
      <c r="G19" s="349">
        <f t="shared" si="2"/>
        <v>86745616.989999995</v>
      </c>
      <c r="H19" s="349">
        <f t="shared" si="3"/>
        <v>16481667.23</v>
      </c>
      <c r="I19" s="358">
        <f t="shared" si="4"/>
        <v>2835714219.4999995</v>
      </c>
      <c r="J19" s="344"/>
    </row>
    <row r="20" spans="1:10" s="338" customFormat="1" ht="20.100000000000001" customHeight="1" x14ac:dyDescent="0.25">
      <c r="A20" s="343"/>
      <c r="B20" s="344"/>
      <c r="C20" s="357" t="s">
        <v>480</v>
      </c>
      <c r="D20" s="349">
        <f>ROUND(UUFF!AF17,2)</f>
        <v>1263315780.51</v>
      </c>
      <c r="E20" s="349">
        <f t="shared" si="0"/>
        <v>277929471.70999998</v>
      </c>
      <c r="F20" s="349">
        <f t="shared" si="1"/>
        <v>50532631.219999999</v>
      </c>
      <c r="G20" s="349">
        <f t="shared" si="2"/>
        <v>50532631.219999999</v>
      </c>
      <c r="H20" s="349">
        <f t="shared" si="3"/>
        <v>9601199.9299999997</v>
      </c>
      <c r="I20" s="358">
        <f t="shared" si="4"/>
        <v>1651911714.5900002</v>
      </c>
      <c r="J20" s="344"/>
    </row>
    <row r="21" spans="1:10" s="338" customFormat="1" ht="20.100000000000001" customHeight="1" x14ac:dyDescent="0.25">
      <c r="A21" s="343"/>
      <c r="B21" s="344"/>
      <c r="C21" s="359" t="s">
        <v>464</v>
      </c>
      <c r="D21" s="360">
        <f>ROUND((UUFF!AI11+UUFF!AI12),2)</f>
        <v>3430947329.1199999</v>
      </c>
      <c r="E21" s="349">
        <f>ROUND((D21*22%),2)</f>
        <v>754808412.40999997</v>
      </c>
      <c r="F21" s="349">
        <f>ROUND((D21*4%),2)</f>
        <v>137237893.16</v>
      </c>
      <c r="G21" s="349">
        <f>ROUND((D21*4%),2)</f>
        <v>137237893.16</v>
      </c>
      <c r="H21" s="349">
        <f>ROUND((G21*19%),2)</f>
        <v>26075199.699999999</v>
      </c>
      <c r="I21" s="358">
        <f>SUM(D21:H21)</f>
        <v>4486306727.5499992</v>
      </c>
      <c r="J21" s="344"/>
    </row>
    <row r="22" spans="1:10" s="338" customFormat="1" ht="20.100000000000001" customHeight="1" x14ac:dyDescent="0.25">
      <c r="A22" s="343"/>
      <c r="B22" s="344"/>
      <c r="C22" s="359" t="s">
        <v>465</v>
      </c>
      <c r="D22" s="360">
        <f>ROUND(UUFF!AI13,2)</f>
        <v>3291697319.6999998</v>
      </c>
      <c r="E22" s="349">
        <f t="shared" ref="E22:E24" si="5">ROUND((D22*22%),2)</f>
        <v>724173410.33000004</v>
      </c>
      <c r="F22" s="349">
        <f t="shared" ref="F22:F24" si="6">ROUND((D22*4%),2)</f>
        <v>131667892.79000001</v>
      </c>
      <c r="G22" s="349">
        <f t="shared" ref="G22:G24" si="7">ROUND((D22*4%),2)</f>
        <v>131667892.79000001</v>
      </c>
      <c r="H22" s="349">
        <f t="shared" ref="H22:H24" si="8">ROUND((G22*19%),2)</f>
        <v>25016899.629999999</v>
      </c>
      <c r="I22" s="358">
        <f t="shared" ref="I22:I26" si="9">SUM(D22:H22)</f>
        <v>4304223415.2399998</v>
      </c>
      <c r="J22" s="344"/>
    </row>
    <row r="23" spans="1:10" s="338" customFormat="1" ht="20.100000000000001" customHeight="1" x14ac:dyDescent="0.25">
      <c r="A23" s="343"/>
      <c r="B23" s="344"/>
      <c r="C23" s="359" t="s">
        <v>291</v>
      </c>
      <c r="D23" s="360">
        <f>ROUND(UUFF!AI15,2)</f>
        <v>3934077022.5</v>
      </c>
      <c r="E23" s="349">
        <f t="shared" si="5"/>
        <v>865496944.95000005</v>
      </c>
      <c r="F23" s="349">
        <f t="shared" si="6"/>
        <v>157363080.90000001</v>
      </c>
      <c r="G23" s="349">
        <f t="shared" si="7"/>
        <v>157363080.90000001</v>
      </c>
      <c r="H23" s="349">
        <f t="shared" si="8"/>
        <v>29898985.370000001</v>
      </c>
      <c r="I23" s="358">
        <f t="shared" si="9"/>
        <v>5144199114.6199989</v>
      </c>
      <c r="J23" s="344"/>
    </row>
    <row r="24" spans="1:10" s="338" customFormat="1" ht="20.100000000000001" customHeight="1" thickBot="1" x14ac:dyDescent="0.3">
      <c r="A24" s="343"/>
      <c r="B24" s="344"/>
      <c r="C24" s="361" t="s">
        <v>248</v>
      </c>
      <c r="D24" s="362">
        <f>ROUND(UUFF!AI14,2)</f>
        <v>1812038101.3800001</v>
      </c>
      <c r="E24" s="350">
        <f t="shared" si="5"/>
        <v>398648382.30000001</v>
      </c>
      <c r="F24" s="350">
        <f t="shared" si="6"/>
        <v>72481524.060000002</v>
      </c>
      <c r="G24" s="350">
        <f t="shared" si="7"/>
        <v>72481524.060000002</v>
      </c>
      <c r="H24" s="350">
        <f t="shared" si="8"/>
        <v>13771489.57</v>
      </c>
      <c r="I24" s="363">
        <f t="shared" si="9"/>
        <v>2369421021.3700004</v>
      </c>
      <c r="J24" s="344"/>
    </row>
    <row r="25" spans="1:10" s="338" customFormat="1" ht="5.25" customHeight="1" thickBot="1" x14ac:dyDescent="0.3">
      <c r="A25" s="343"/>
      <c r="B25" s="344"/>
      <c r="C25" s="343"/>
      <c r="D25" s="343"/>
      <c r="E25" s="342"/>
      <c r="F25" s="342"/>
      <c r="G25" s="342"/>
      <c r="H25" s="342"/>
      <c r="I25" s="343"/>
      <c r="J25" s="344"/>
    </row>
    <row r="26" spans="1:10" s="338" customFormat="1" ht="20.100000000000001" customHeight="1" thickBot="1" x14ac:dyDescent="0.3">
      <c r="A26" s="343"/>
      <c r="B26" s="344"/>
      <c r="C26" s="352" t="s">
        <v>466</v>
      </c>
      <c r="D26" s="353">
        <f>SUM(D7:D24)</f>
        <v>52998668779.909996</v>
      </c>
      <c r="E26" s="351">
        <f t="shared" ref="E26:H26" si="10">SUM(E7:E24)</f>
        <v>11659707131.569998</v>
      </c>
      <c r="F26" s="351">
        <f t="shared" si="10"/>
        <v>2119946751.2</v>
      </c>
      <c r="G26" s="351">
        <f t="shared" si="10"/>
        <v>2119946751.2</v>
      </c>
      <c r="H26" s="351">
        <f t="shared" si="10"/>
        <v>402789882.71999997</v>
      </c>
      <c r="I26" s="354">
        <f t="shared" si="9"/>
        <v>69301059296.599991</v>
      </c>
      <c r="J26" s="344"/>
    </row>
    <row r="27" spans="1:10" x14ac:dyDescent="0.25">
      <c r="A27" s="340"/>
      <c r="B27" s="341"/>
      <c r="C27" s="340"/>
      <c r="D27" s="340"/>
      <c r="E27" s="342"/>
      <c r="F27" s="342"/>
      <c r="G27" s="342"/>
      <c r="H27" s="342"/>
      <c r="I27" s="340"/>
      <c r="J27" s="341"/>
    </row>
    <row r="28" spans="1:10" x14ac:dyDescent="0.25">
      <c r="A28" s="340"/>
      <c r="B28" s="341"/>
      <c r="C28" s="340"/>
      <c r="D28" s="340"/>
      <c r="E28" s="342"/>
      <c r="F28" s="342"/>
      <c r="G28" s="342"/>
      <c r="H28" s="342"/>
      <c r="I28" s="340"/>
      <c r="J28" s="341"/>
    </row>
  </sheetData>
  <phoneticPr fontId="4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95E84-C9AC-461C-B5C4-9004E8344F44}">
  <dimension ref="B1:E57"/>
  <sheetViews>
    <sheetView tabSelected="1" topLeftCell="A18" workbookViewId="0">
      <selection activeCell="B33" sqref="B33:E57"/>
    </sheetView>
  </sheetViews>
  <sheetFormatPr baseColWidth="10" defaultColWidth="10.625" defaultRowHeight="15" x14ac:dyDescent="0.25"/>
  <cols>
    <col min="1" max="2" width="10.625" style="214"/>
    <col min="3" max="3" width="60" style="214" customWidth="1"/>
    <col min="4" max="4" width="11.375" style="214" customWidth="1"/>
    <col min="5" max="5" width="22.375" style="214" customWidth="1"/>
    <col min="6" max="16384" width="10.625" style="214"/>
  </cols>
  <sheetData>
    <row r="1" spans="2:5" s="197" customFormat="1" ht="13.5" x14ac:dyDescent="0.25">
      <c r="B1" s="196"/>
      <c r="E1" s="198"/>
    </row>
    <row r="2" spans="2:5" s="200" customFormat="1" ht="15.75" x14ac:dyDescent="0.25">
      <c r="B2" s="199" t="s">
        <v>0</v>
      </c>
      <c r="E2" s="201"/>
    </row>
    <row r="3" spans="2:5" s="200" customFormat="1" ht="15.75" x14ac:dyDescent="0.25">
      <c r="B3" s="199" t="s">
        <v>1</v>
      </c>
      <c r="C3" s="202"/>
      <c r="D3" s="202"/>
      <c r="E3" s="201"/>
    </row>
    <row r="4" spans="2:5" s="200" customFormat="1" ht="15.75" x14ac:dyDescent="0.25">
      <c r="B4" s="199" t="s">
        <v>361</v>
      </c>
      <c r="E4" s="201"/>
    </row>
    <row r="5" spans="2:5" s="200" customFormat="1" ht="15.75" x14ac:dyDescent="0.25">
      <c r="B5" s="203"/>
      <c r="E5" s="201"/>
    </row>
    <row r="6" spans="2:5" s="200" customFormat="1" ht="15.75" x14ac:dyDescent="0.25">
      <c r="B6" s="203"/>
      <c r="C6" s="204" t="s">
        <v>2</v>
      </c>
      <c r="D6" s="204"/>
      <c r="E6" s="201"/>
    </row>
    <row r="7" spans="2:5" s="200" customFormat="1" ht="16.5" thickBot="1" x14ac:dyDescent="0.3">
      <c r="B7" s="203"/>
      <c r="E7" s="201"/>
    </row>
    <row r="8" spans="2:5" s="209" customFormat="1" ht="34.5" customHeight="1" thickBot="1" x14ac:dyDescent="0.3">
      <c r="B8" s="205" t="s">
        <v>3</v>
      </c>
      <c r="C8" s="206" t="s">
        <v>4</v>
      </c>
      <c r="D8" s="207"/>
      <c r="E8" s="208" t="s">
        <v>9</v>
      </c>
    </row>
    <row r="9" spans="2:5" s="210" customFormat="1" ht="27.75" customHeight="1" thickBot="1" x14ac:dyDescent="0.3">
      <c r="B9" s="241"/>
      <c r="C9" s="241"/>
      <c r="D9" s="241"/>
      <c r="E9" s="242"/>
    </row>
    <row r="10" spans="2:5" ht="17.100000000000001" customHeight="1" x14ac:dyDescent="0.25">
      <c r="B10" s="238">
        <v>1</v>
      </c>
      <c r="C10" s="239" t="s">
        <v>334</v>
      </c>
      <c r="D10" s="240"/>
      <c r="E10" s="243">
        <f>'Postes SOS'!J40</f>
        <v>6789105265.1227636</v>
      </c>
    </row>
    <row r="11" spans="2:5" ht="17.100000000000001" customHeight="1" x14ac:dyDescent="0.25">
      <c r="B11" s="211">
        <v>2</v>
      </c>
      <c r="C11" s="212" t="s">
        <v>335</v>
      </c>
      <c r="D11" s="213"/>
      <c r="E11" s="244">
        <f>'ESTACIÓN METEOROLOGICA'!J40</f>
        <v>486775340.32045132</v>
      </c>
    </row>
    <row r="12" spans="2:5" ht="17.100000000000001" customHeight="1" x14ac:dyDescent="0.25">
      <c r="B12" s="211">
        <v>3</v>
      </c>
      <c r="C12" s="212" t="s">
        <v>336</v>
      </c>
      <c r="D12" s="213"/>
      <c r="E12" s="244">
        <f>PMV!J35</f>
        <v>10900277831.526129</v>
      </c>
    </row>
    <row r="13" spans="2:5" ht="17.100000000000001" customHeight="1" x14ac:dyDescent="0.25">
      <c r="B13" s="211">
        <v>4</v>
      </c>
      <c r="C13" s="212" t="s">
        <v>337</v>
      </c>
      <c r="D13" s="213"/>
      <c r="E13" s="244">
        <f>GALIBO!J43</f>
        <v>2419254965.7611909</v>
      </c>
    </row>
    <row r="14" spans="2:5" ht="17.100000000000001" customHeight="1" x14ac:dyDescent="0.25">
      <c r="B14" s="211">
        <v>5</v>
      </c>
      <c r="C14" s="212" t="s">
        <v>94</v>
      </c>
      <c r="D14" s="213"/>
      <c r="E14" s="244">
        <f>ETD!J35</f>
        <v>1715153656.1023664</v>
      </c>
    </row>
    <row r="15" spans="2:5" ht="17.100000000000001" customHeight="1" x14ac:dyDescent="0.25">
      <c r="B15" s="211">
        <v>6</v>
      </c>
      <c r="C15" s="212" t="s">
        <v>338</v>
      </c>
      <c r="D15" s="213"/>
      <c r="E15" s="244">
        <f>CCTV!J36</f>
        <v>1894483630.8937149</v>
      </c>
    </row>
    <row r="16" spans="2:5" ht="17.100000000000001" customHeight="1" x14ac:dyDescent="0.25">
      <c r="B16" s="211">
        <v>7</v>
      </c>
      <c r="C16" s="212" t="s">
        <v>111</v>
      </c>
      <c r="D16" s="213"/>
      <c r="E16" s="244">
        <f>'FO COMUNICACION'!J33</f>
        <v>16324858316.04199</v>
      </c>
    </row>
    <row r="17" spans="2:5" ht="17.100000000000001" customHeight="1" x14ac:dyDescent="0.25">
      <c r="B17" s="211">
        <v>8</v>
      </c>
      <c r="C17" s="212" t="s">
        <v>128</v>
      </c>
      <c r="D17" s="213"/>
      <c r="E17" s="244">
        <f>PEAJE!J93</f>
        <v>3352522807.8840418</v>
      </c>
    </row>
    <row r="18" spans="2:5" ht="17.100000000000001" customHeight="1" x14ac:dyDescent="0.25">
      <c r="B18" s="211">
        <v>9</v>
      </c>
      <c r="C18" s="212" t="s">
        <v>459</v>
      </c>
      <c r="D18" s="213"/>
      <c r="E18" s="244">
        <f>'BásculaS Sur y Norte'!J81</f>
        <v>3291697319.7072339</v>
      </c>
    </row>
    <row r="19" spans="2:5" ht="17.100000000000001" customHeight="1" x14ac:dyDescent="0.25">
      <c r="B19" s="211">
        <v>10</v>
      </c>
      <c r="C19" s="212" t="s">
        <v>248</v>
      </c>
      <c r="D19" s="213"/>
      <c r="E19" s="244">
        <f>'RADIO COMUNICACIONES'!J66</f>
        <v>1812038101.4058056</v>
      </c>
    </row>
    <row r="20" spans="2:5" ht="17.100000000000001" customHeight="1" x14ac:dyDescent="0.25">
      <c r="B20" s="215">
        <v>11</v>
      </c>
      <c r="C20" s="212" t="s">
        <v>291</v>
      </c>
      <c r="D20" s="213"/>
      <c r="E20" s="245">
        <f>CCO!J59</f>
        <v>3934077022.504406</v>
      </c>
    </row>
    <row r="21" spans="2:5" ht="17.100000000000001" customHeight="1" thickBot="1" x14ac:dyDescent="0.3">
      <c r="B21" s="216">
        <v>12</v>
      </c>
      <c r="C21" s="217" t="s">
        <v>343</v>
      </c>
      <c r="D21" s="218"/>
      <c r="E21" s="246">
        <f>'Control de accesos en Peaje'!J27</f>
        <v>78424521.249255612</v>
      </c>
    </row>
    <row r="22" spans="2:5" ht="15.75" thickBot="1" x14ac:dyDescent="0.3"/>
    <row r="23" spans="2:5" ht="15.75" x14ac:dyDescent="0.25">
      <c r="B23" s="364" t="s">
        <v>45</v>
      </c>
      <c r="C23" s="365"/>
      <c r="D23" s="219"/>
      <c r="E23" s="247">
        <f>SUM(E10:E21)</f>
        <v>52998668778.519348</v>
      </c>
    </row>
    <row r="24" spans="2:5" x14ac:dyDescent="0.25">
      <c r="B24" s="221" t="s">
        <v>46</v>
      </c>
      <c r="C24" s="222"/>
      <c r="D24" s="223">
        <v>0.22</v>
      </c>
      <c r="E24" s="248">
        <f>E23*D24</f>
        <v>11659707131.274256</v>
      </c>
    </row>
    <row r="25" spans="2:5" x14ac:dyDescent="0.25">
      <c r="B25" s="221" t="s">
        <v>47</v>
      </c>
      <c r="C25" s="222"/>
      <c r="D25" s="223">
        <v>0.04</v>
      </c>
      <c r="E25" s="248">
        <f>E23*D25</f>
        <v>2119946751.140774</v>
      </c>
    </row>
    <row r="26" spans="2:5" x14ac:dyDescent="0.25">
      <c r="B26" s="221" t="s">
        <v>48</v>
      </c>
      <c r="C26" s="222"/>
      <c r="D26" s="223">
        <v>0.04</v>
      </c>
      <c r="E26" s="248">
        <f>E23*D26</f>
        <v>2119946751.140774</v>
      </c>
    </row>
    <row r="27" spans="2:5" x14ac:dyDescent="0.25">
      <c r="B27" s="221" t="s">
        <v>49</v>
      </c>
      <c r="C27" s="225"/>
      <c r="D27" s="226"/>
      <c r="E27" s="249">
        <f>SUM(E23:E26)</f>
        <v>68898269412.07515</v>
      </c>
    </row>
    <row r="28" spans="2:5" x14ac:dyDescent="0.25">
      <c r="B28" s="221" t="s">
        <v>50</v>
      </c>
      <c r="C28" s="222"/>
      <c r="D28" s="223">
        <v>0.19</v>
      </c>
      <c r="E28" s="248">
        <f>E26*D28</f>
        <v>402789882.71674705</v>
      </c>
    </row>
    <row r="29" spans="2:5" x14ac:dyDescent="0.25">
      <c r="B29" s="228"/>
      <c r="C29" s="229"/>
      <c r="D29" s="230"/>
      <c r="E29" s="224"/>
    </row>
    <row r="30" spans="2:5" ht="16.5" thickBot="1" x14ac:dyDescent="0.3">
      <c r="B30" s="366" t="s">
        <v>51</v>
      </c>
      <c r="C30" s="367"/>
      <c r="D30" s="231"/>
      <c r="E30" s="232">
        <f>E27+E28</f>
        <v>69301059294.791901</v>
      </c>
    </row>
    <row r="32" spans="2:5" ht="15.75" thickBot="1" x14ac:dyDescent="0.3"/>
    <row r="33" spans="2:5" ht="16.5" thickBot="1" x14ac:dyDescent="0.3">
      <c r="B33" s="205" t="s">
        <v>3</v>
      </c>
      <c r="C33" s="206" t="s">
        <v>4</v>
      </c>
      <c r="D33" s="207"/>
      <c r="E33" s="208" t="s">
        <v>9</v>
      </c>
    </row>
    <row r="34" spans="2:5" ht="3" customHeight="1" thickBot="1" x14ac:dyDescent="0.3"/>
    <row r="35" spans="2:5" ht="14.25" customHeight="1" thickBot="1" x14ac:dyDescent="0.3">
      <c r="B35" s="233">
        <v>13</v>
      </c>
      <c r="C35" s="234" t="s">
        <v>329</v>
      </c>
      <c r="D35" s="235"/>
      <c r="E35" s="236">
        <f>'Paso elevado FO'!J17</f>
        <v>82081639.397280008</v>
      </c>
    </row>
    <row r="36" spans="2:5" ht="3.75" customHeight="1" thickBot="1" x14ac:dyDescent="0.3"/>
    <row r="37" spans="2:5" ht="15.75" x14ac:dyDescent="0.25">
      <c r="B37" s="364" t="s">
        <v>45</v>
      </c>
      <c r="C37" s="365"/>
      <c r="D37" s="219"/>
      <c r="E37" s="220">
        <f>E35</f>
        <v>82081639.397280008</v>
      </c>
    </row>
    <row r="38" spans="2:5" x14ac:dyDescent="0.25">
      <c r="B38" s="221" t="s">
        <v>46</v>
      </c>
      <c r="C38" s="222"/>
      <c r="D38" s="223">
        <v>0.22</v>
      </c>
      <c r="E38" s="224">
        <f>E37*D38</f>
        <v>18057960.667401601</v>
      </c>
    </row>
    <row r="39" spans="2:5" x14ac:dyDescent="0.25">
      <c r="B39" s="221" t="s">
        <v>47</v>
      </c>
      <c r="C39" s="222"/>
      <c r="D39" s="223">
        <v>0.04</v>
      </c>
      <c r="E39" s="224">
        <f>E37*D39</f>
        <v>3283265.5758912005</v>
      </c>
    </row>
    <row r="40" spans="2:5" x14ac:dyDescent="0.25">
      <c r="B40" s="221" t="s">
        <v>48</v>
      </c>
      <c r="C40" s="222"/>
      <c r="D40" s="223">
        <v>0.04</v>
      </c>
      <c r="E40" s="224">
        <f>E37*D40</f>
        <v>3283265.5758912005</v>
      </c>
    </row>
    <row r="41" spans="2:5" x14ac:dyDescent="0.25">
      <c r="B41" s="221" t="s">
        <v>49</v>
      </c>
      <c r="C41" s="225"/>
      <c r="D41" s="226"/>
      <c r="E41" s="227">
        <f>SUM(E37:E40)</f>
        <v>106706131.216464</v>
      </c>
    </row>
    <row r="42" spans="2:5" x14ac:dyDescent="0.25">
      <c r="B42" s="221" t="s">
        <v>50</v>
      </c>
      <c r="C42" s="222"/>
      <c r="D42" s="223">
        <v>0.19</v>
      </c>
      <c r="E42" s="224">
        <f>E40*D42</f>
        <v>623820.45941932814</v>
      </c>
    </row>
    <row r="43" spans="2:5" ht="7.5" customHeight="1" x14ac:dyDescent="0.25">
      <c r="B43" s="228"/>
      <c r="C43" s="229"/>
      <c r="D43" s="230"/>
      <c r="E43" s="224"/>
    </row>
    <row r="44" spans="2:5" ht="16.5" thickBot="1" x14ac:dyDescent="0.3">
      <c r="B44" s="366" t="s">
        <v>51</v>
      </c>
      <c r="C44" s="367"/>
      <c r="D44" s="231"/>
      <c r="E44" s="232">
        <f>E41+E42</f>
        <v>107329951.67588332</v>
      </c>
    </row>
    <row r="45" spans="2:5" ht="15.75" thickBot="1" x14ac:dyDescent="0.3"/>
    <row r="46" spans="2:5" ht="16.5" thickBot="1" x14ac:dyDescent="0.3">
      <c r="B46" s="205" t="s">
        <v>3</v>
      </c>
      <c r="C46" s="206" t="s">
        <v>4</v>
      </c>
      <c r="D46" s="207"/>
      <c r="E46" s="208" t="s">
        <v>9</v>
      </c>
    </row>
    <row r="47" spans="2:5" ht="4.5" customHeight="1" thickBot="1" x14ac:dyDescent="0.3"/>
    <row r="48" spans="2:5" ht="14.25" customHeight="1" thickBot="1" x14ac:dyDescent="0.3">
      <c r="B48" s="233">
        <v>14</v>
      </c>
      <c r="C48" s="234" t="s">
        <v>368</v>
      </c>
      <c r="D48" s="235"/>
      <c r="E48" s="236">
        <f>'Basculas Dinamicas en peaje'!J31</f>
        <v>3182719610</v>
      </c>
    </row>
    <row r="49" spans="2:5" ht="4.5" customHeight="1" thickBot="1" x14ac:dyDescent="0.3">
      <c r="B49" s="237"/>
    </row>
    <row r="50" spans="2:5" ht="15.75" x14ac:dyDescent="0.25">
      <c r="B50" s="364" t="s">
        <v>45</v>
      </c>
      <c r="C50" s="365"/>
      <c r="D50" s="219"/>
      <c r="E50" s="220">
        <f>E48</f>
        <v>3182719610</v>
      </c>
    </row>
    <row r="51" spans="2:5" x14ac:dyDescent="0.25">
      <c r="B51" s="221" t="s">
        <v>46</v>
      </c>
      <c r="C51" s="222"/>
      <c r="D51" s="223">
        <v>0.22</v>
      </c>
      <c r="E51" s="224">
        <f>E50*D51</f>
        <v>700198314.20000005</v>
      </c>
    </row>
    <row r="52" spans="2:5" x14ac:dyDescent="0.25">
      <c r="B52" s="221" t="s">
        <v>47</v>
      </c>
      <c r="C52" s="222"/>
      <c r="D52" s="223">
        <v>0.04</v>
      </c>
      <c r="E52" s="224">
        <f>E50*D52</f>
        <v>127308784.40000001</v>
      </c>
    </row>
    <row r="53" spans="2:5" x14ac:dyDescent="0.25">
      <c r="B53" s="221" t="s">
        <v>48</v>
      </c>
      <c r="C53" s="222"/>
      <c r="D53" s="223">
        <v>0.04</v>
      </c>
      <c r="E53" s="224">
        <f>E50*D53</f>
        <v>127308784.40000001</v>
      </c>
    </row>
    <row r="54" spans="2:5" x14ac:dyDescent="0.25">
      <c r="B54" s="221" t="s">
        <v>49</v>
      </c>
      <c r="C54" s="225"/>
      <c r="D54" s="226"/>
      <c r="E54" s="227">
        <f>SUM(E50:E53)</f>
        <v>4137535493</v>
      </c>
    </row>
    <row r="55" spans="2:5" x14ac:dyDescent="0.25">
      <c r="B55" s="221" t="s">
        <v>50</v>
      </c>
      <c r="C55" s="222"/>
      <c r="D55" s="223">
        <v>0.19</v>
      </c>
      <c r="E55" s="224">
        <f>E53*D55</f>
        <v>24188669.036000002</v>
      </c>
    </row>
    <row r="56" spans="2:5" ht="5.25" customHeight="1" x14ac:dyDescent="0.25">
      <c r="B56" s="228"/>
      <c r="C56" s="229"/>
      <c r="D56" s="230"/>
      <c r="E56" s="224"/>
    </row>
    <row r="57" spans="2:5" ht="16.5" thickBot="1" x14ac:dyDescent="0.3">
      <c r="B57" s="366" t="s">
        <v>51</v>
      </c>
      <c r="C57" s="367"/>
      <c r="D57" s="231"/>
      <c r="E57" s="232">
        <f>E54+E55</f>
        <v>4161724162.0359998</v>
      </c>
    </row>
  </sheetData>
  <mergeCells count="6">
    <mergeCell ref="B50:C50"/>
    <mergeCell ref="B57:C57"/>
    <mergeCell ref="B23:C23"/>
    <mergeCell ref="B30:C30"/>
    <mergeCell ref="B37:C37"/>
    <mergeCell ref="B44:C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AA409-3DEE-4519-B3F5-941F2B4BB607}">
  <dimension ref="A1:O174"/>
  <sheetViews>
    <sheetView workbookViewId="0">
      <selection sqref="A1:F1"/>
    </sheetView>
  </sheetViews>
  <sheetFormatPr baseColWidth="10" defaultColWidth="11" defaultRowHeight="15" x14ac:dyDescent="0.25"/>
  <cols>
    <col min="1" max="1" width="9.25" style="182" customWidth="1"/>
    <col min="2" max="2" width="6.625" style="182" customWidth="1"/>
    <col min="3" max="3" width="6.125" style="182" customWidth="1"/>
    <col min="4" max="4" width="12.875" style="182" customWidth="1"/>
    <col min="5" max="5" width="10.75" style="182" customWidth="1"/>
    <col min="6" max="6" width="11" style="182"/>
    <col min="7" max="7" width="6.625" style="182" customWidth="1"/>
    <col min="8" max="9" width="10.125" style="182" customWidth="1"/>
    <col min="10" max="10" width="9.625" style="182" customWidth="1"/>
    <col min="11" max="11" width="17.875" style="182" customWidth="1"/>
    <col min="12" max="12" width="11" style="182"/>
    <col min="13" max="13" width="11.125" style="182" customWidth="1"/>
    <col min="14" max="14" width="12.625" style="182" customWidth="1"/>
    <col min="15" max="15" width="8.5" style="182" customWidth="1"/>
    <col min="16" max="16384" width="11" style="182"/>
  </cols>
  <sheetData>
    <row r="1" spans="1:15" x14ac:dyDescent="0.25">
      <c r="A1" s="368" t="s">
        <v>456</v>
      </c>
      <c r="B1" s="368"/>
      <c r="C1" s="368"/>
      <c r="D1" s="368"/>
      <c r="E1" s="368"/>
      <c r="F1" s="368"/>
      <c r="M1" s="372" t="s">
        <v>449</v>
      </c>
      <c r="N1" s="368" t="s">
        <v>453</v>
      </c>
      <c r="O1" s="368"/>
    </row>
    <row r="2" spans="1:15" x14ac:dyDescent="0.25">
      <c r="A2" s="370">
        <v>45918</v>
      </c>
      <c r="B2" s="368"/>
      <c r="C2" s="368"/>
      <c r="D2" s="368"/>
      <c r="E2" s="368"/>
      <c r="F2" s="368"/>
      <c r="G2" s="371" t="s">
        <v>455</v>
      </c>
      <c r="H2" s="371"/>
      <c r="I2" s="371"/>
      <c r="J2" s="369" t="s">
        <v>454</v>
      </c>
      <c r="K2" s="369"/>
      <c r="M2" s="372"/>
      <c r="N2" s="192" t="s">
        <v>457</v>
      </c>
      <c r="O2" s="192" t="s">
        <v>458</v>
      </c>
    </row>
    <row r="3" spans="1:15" x14ac:dyDescent="0.25">
      <c r="A3" s="192" t="s">
        <v>453</v>
      </c>
      <c r="B3" s="192" t="s">
        <v>452</v>
      </c>
      <c r="C3" s="192" t="s">
        <v>451</v>
      </c>
      <c r="D3" s="195" t="s">
        <v>450</v>
      </c>
      <c r="E3" s="195" t="s">
        <v>449</v>
      </c>
      <c r="F3" s="195" t="s">
        <v>448</v>
      </c>
      <c r="G3" s="194" t="s">
        <v>410</v>
      </c>
      <c r="H3" s="194" t="s">
        <v>447</v>
      </c>
      <c r="I3" s="194" t="s">
        <v>446</v>
      </c>
      <c r="J3" s="369"/>
      <c r="K3" s="369"/>
      <c r="M3" s="183" t="s">
        <v>436</v>
      </c>
      <c r="N3" s="187">
        <v>38</v>
      </c>
      <c r="O3" s="187">
        <f>COUNTIF(E4:E174,M3)</f>
        <v>12</v>
      </c>
    </row>
    <row r="4" spans="1:15" x14ac:dyDescent="0.25">
      <c r="A4" s="187"/>
      <c r="B4" s="187"/>
      <c r="C4" s="187"/>
      <c r="D4" s="186"/>
      <c r="E4" s="185"/>
      <c r="F4" s="184"/>
      <c r="G4" s="183"/>
      <c r="H4" s="183"/>
      <c r="I4" s="183"/>
      <c r="J4" s="183"/>
      <c r="K4" s="183"/>
      <c r="M4" s="183" t="s">
        <v>412</v>
      </c>
      <c r="N4" s="187">
        <v>29</v>
      </c>
      <c r="O4" s="187">
        <f>COUNTIF(E4:E175,M4)</f>
        <v>28</v>
      </c>
    </row>
    <row r="5" spans="1:15" x14ac:dyDescent="0.25">
      <c r="A5" s="187">
        <v>1</v>
      </c>
      <c r="B5" s="187">
        <v>4510</v>
      </c>
      <c r="C5" s="187">
        <v>5.2</v>
      </c>
      <c r="D5" s="186" t="s">
        <v>445</v>
      </c>
      <c r="E5" s="185" t="s">
        <v>413</v>
      </c>
      <c r="F5" s="184">
        <v>38100</v>
      </c>
      <c r="G5" s="183"/>
      <c r="H5" s="183"/>
      <c r="I5" s="183"/>
      <c r="J5" s="183"/>
      <c r="K5" s="183"/>
      <c r="M5" s="183" t="s">
        <v>413</v>
      </c>
      <c r="N5" s="187">
        <v>121</v>
      </c>
      <c r="O5" s="187">
        <f>COUNTIF(E4:E176,M5)</f>
        <v>30</v>
      </c>
    </row>
    <row r="6" spans="1:15" x14ac:dyDescent="0.25">
      <c r="A6" s="187">
        <v>2</v>
      </c>
      <c r="B6" s="187">
        <v>4510</v>
      </c>
      <c r="C6" s="187" t="s">
        <v>403</v>
      </c>
      <c r="D6" s="186" t="s">
        <v>430</v>
      </c>
      <c r="E6" s="185" t="s">
        <v>413</v>
      </c>
      <c r="F6" s="184">
        <v>40050</v>
      </c>
      <c r="G6" s="183"/>
      <c r="H6" s="183"/>
      <c r="I6" s="183"/>
      <c r="J6" s="183"/>
      <c r="K6" s="183"/>
      <c r="M6" s="183" t="s">
        <v>426</v>
      </c>
      <c r="N6" s="187">
        <v>88</v>
      </c>
      <c r="O6" s="187">
        <f>COUNTIF(E4:E177,M6)</f>
        <v>88</v>
      </c>
    </row>
    <row r="7" spans="1:15" x14ac:dyDescent="0.25">
      <c r="A7" s="187">
        <v>3</v>
      </c>
      <c r="B7" s="187">
        <v>4510</v>
      </c>
      <c r="C7" s="187" t="s">
        <v>403</v>
      </c>
      <c r="D7" s="186" t="s">
        <v>427</v>
      </c>
      <c r="E7" s="185" t="s">
        <v>412</v>
      </c>
      <c r="F7" s="184">
        <v>41000</v>
      </c>
      <c r="G7" s="183"/>
      <c r="H7" s="183"/>
      <c r="I7" s="183"/>
      <c r="J7" s="188">
        <v>40450</v>
      </c>
      <c r="K7" s="183" t="s">
        <v>444</v>
      </c>
      <c r="M7" s="183" t="s">
        <v>414</v>
      </c>
      <c r="N7" s="187">
        <v>19</v>
      </c>
      <c r="O7" s="187">
        <f>COUNTIF(E4:E178,M7)</f>
        <v>8</v>
      </c>
    </row>
    <row r="8" spans="1:15" x14ac:dyDescent="0.25">
      <c r="A8" s="187">
        <v>4</v>
      </c>
      <c r="B8" s="187">
        <v>4510</v>
      </c>
      <c r="C8" s="187" t="s">
        <v>403</v>
      </c>
      <c r="D8" s="186" t="s">
        <v>428</v>
      </c>
      <c r="E8" s="185" t="s">
        <v>412</v>
      </c>
      <c r="F8" s="184">
        <v>41200</v>
      </c>
      <c r="G8" s="183"/>
      <c r="H8" s="183"/>
      <c r="I8" s="183"/>
      <c r="J8" s="183"/>
      <c r="K8" s="183"/>
      <c r="M8" s="183" t="s">
        <v>415</v>
      </c>
      <c r="N8" s="187">
        <v>11</v>
      </c>
      <c r="O8" s="187">
        <f>COUNTIF(E4:E179,M8)</f>
        <v>4</v>
      </c>
    </row>
    <row r="9" spans="1:15" x14ac:dyDescent="0.25">
      <c r="A9" s="187">
        <v>5</v>
      </c>
      <c r="B9" s="187">
        <v>4510</v>
      </c>
      <c r="C9" s="187" t="s">
        <v>403</v>
      </c>
      <c r="D9" s="186" t="s">
        <v>427</v>
      </c>
      <c r="E9" s="185" t="s">
        <v>426</v>
      </c>
      <c r="F9" s="184">
        <v>41180</v>
      </c>
      <c r="G9" s="183"/>
      <c r="H9" s="183"/>
      <c r="I9" s="183"/>
      <c r="J9" s="183"/>
      <c r="K9" s="183"/>
      <c r="M9" s="193" t="s">
        <v>14</v>
      </c>
      <c r="N9" s="192">
        <f>SUM(N3:N8)</f>
        <v>306</v>
      </c>
      <c r="O9" s="192">
        <f>SUM(O3:O8)</f>
        <v>170</v>
      </c>
    </row>
    <row r="10" spans="1:15" x14ac:dyDescent="0.25">
      <c r="A10" s="187">
        <v>6</v>
      </c>
      <c r="B10" s="187">
        <v>4510</v>
      </c>
      <c r="C10" s="187" t="s">
        <v>403</v>
      </c>
      <c r="D10" s="186" t="s">
        <v>427</v>
      </c>
      <c r="E10" s="185" t="s">
        <v>414</v>
      </c>
      <c r="F10" s="184">
        <v>41350</v>
      </c>
      <c r="G10" s="183"/>
      <c r="H10" s="183"/>
      <c r="I10" s="183"/>
      <c r="J10" s="183"/>
      <c r="K10" s="183"/>
    </row>
    <row r="11" spans="1:15" x14ac:dyDescent="0.25">
      <c r="A11" s="187">
        <v>7</v>
      </c>
      <c r="B11" s="187">
        <v>4510</v>
      </c>
      <c r="C11" s="187" t="s">
        <v>403</v>
      </c>
      <c r="D11" s="186" t="s">
        <v>428</v>
      </c>
      <c r="E11" s="185" t="s">
        <v>426</v>
      </c>
      <c r="F11" s="184">
        <v>43560</v>
      </c>
      <c r="G11" s="188">
        <f>F11-F9</f>
        <v>2380</v>
      </c>
      <c r="H11" s="183"/>
      <c r="I11" s="183"/>
      <c r="J11" s="183"/>
      <c r="K11" s="183"/>
    </row>
    <row r="12" spans="1:15" x14ac:dyDescent="0.25">
      <c r="A12" s="187">
        <v>8</v>
      </c>
      <c r="B12" s="187">
        <v>4510</v>
      </c>
      <c r="C12" s="187" t="s">
        <v>403</v>
      </c>
      <c r="D12" s="186" t="s">
        <v>427</v>
      </c>
      <c r="E12" s="185" t="s">
        <v>426</v>
      </c>
      <c r="F12" s="184">
        <v>46550</v>
      </c>
      <c r="G12" s="188">
        <f>F12-F11</f>
        <v>2990</v>
      </c>
      <c r="H12" s="183"/>
      <c r="I12" s="183"/>
      <c r="J12" s="188">
        <v>48360</v>
      </c>
      <c r="K12" s="183" t="s">
        <v>433</v>
      </c>
    </row>
    <row r="13" spans="1:15" x14ac:dyDescent="0.25">
      <c r="A13" s="187">
        <v>9</v>
      </c>
      <c r="B13" s="187">
        <v>4510</v>
      </c>
      <c r="C13" s="187" t="s">
        <v>403</v>
      </c>
      <c r="D13" s="186" t="s">
        <v>428</v>
      </c>
      <c r="E13" s="185" t="s">
        <v>426</v>
      </c>
      <c r="F13" s="184">
        <v>49550</v>
      </c>
      <c r="G13" s="188">
        <f>F13-F12</f>
        <v>3000</v>
      </c>
      <c r="H13" s="183"/>
      <c r="I13" s="183"/>
      <c r="J13" s="183"/>
      <c r="K13" s="183"/>
    </row>
    <row r="14" spans="1:15" x14ac:dyDescent="0.25">
      <c r="A14" s="187">
        <v>10</v>
      </c>
      <c r="B14" s="187">
        <v>4510</v>
      </c>
      <c r="C14" s="187" t="s">
        <v>403</v>
      </c>
      <c r="D14" s="186" t="s">
        <v>427</v>
      </c>
      <c r="E14" s="185" t="s">
        <v>426</v>
      </c>
      <c r="F14" s="184">
        <v>52550</v>
      </c>
      <c r="G14" s="188">
        <f>F14-F13</f>
        <v>3000</v>
      </c>
      <c r="H14" s="183"/>
      <c r="I14" s="183"/>
      <c r="J14" s="183"/>
      <c r="K14" s="183"/>
    </row>
    <row r="15" spans="1:15" x14ac:dyDescent="0.25">
      <c r="A15" s="187">
        <v>11</v>
      </c>
      <c r="B15" s="187">
        <v>4510</v>
      </c>
      <c r="C15" s="187" t="s">
        <v>403</v>
      </c>
      <c r="D15" s="186" t="s">
        <v>428</v>
      </c>
      <c r="E15" s="185" t="s">
        <v>436</v>
      </c>
      <c r="F15" s="184">
        <v>54000</v>
      </c>
      <c r="G15" s="188"/>
      <c r="H15" s="183"/>
      <c r="I15" s="183"/>
      <c r="J15" s="183"/>
      <c r="K15" s="183"/>
    </row>
    <row r="16" spans="1:15" x14ac:dyDescent="0.25">
      <c r="A16" s="187">
        <v>12</v>
      </c>
      <c r="B16" s="187">
        <v>4510</v>
      </c>
      <c r="C16" s="187" t="s">
        <v>403</v>
      </c>
      <c r="D16" s="186" t="s">
        <v>427</v>
      </c>
      <c r="E16" s="185" t="s">
        <v>436</v>
      </c>
      <c r="F16" s="184">
        <v>54000</v>
      </c>
      <c r="G16" s="188"/>
      <c r="H16" s="183"/>
      <c r="I16" s="183"/>
      <c r="J16" s="183"/>
      <c r="K16" s="183"/>
    </row>
    <row r="17" spans="1:11" x14ac:dyDescent="0.25">
      <c r="A17" s="187">
        <v>13</v>
      </c>
      <c r="B17" s="187">
        <v>4510</v>
      </c>
      <c r="C17" s="187" t="s">
        <v>403</v>
      </c>
      <c r="D17" s="186" t="s">
        <v>428</v>
      </c>
      <c r="E17" s="185" t="s">
        <v>426</v>
      </c>
      <c r="F17" s="184">
        <v>55500</v>
      </c>
      <c r="G17" s="188">
        <f>F17-F14</f>
        <v>2950</v>
      </c>
      <c r="H17" s="183"/>
      <c r="I17" s="183"/>
      <c r="J17" s="183"/>
      <c r="K17" s="183"/>
    </row>
    <row r="18" spans="1:11" x14ac:dyDescent="0.25">
      <c r="A18" s="187">
        <v>14</v>
      </c>
      <c r="B18" s="187">
        <v>4510</v>
      </c>
      <c r="C18" s="187" t="s">
        <v>403</v>
      </c>
      <c r="D18" s="186" t="s">
        <v>428</v>
      </c>
      <c r="E18" s="185" t="s">
        <v>412</v>
      </c>
      <c r="F18" s="184">
        <v>57350</v>
      </c>
      <c r="G18" s="188"/>
      <c r="H18" s="188">
        <f>F18-F8</f>
        <v>16150</v>
      </c>
      <c r="I18" s="183"/>
      <c r="J18" s="183"/>
      <c r="K18" s="183"/>
    </row>
    <row r="19" spans="1:11" x14ac:dyDescent="0.25">
      <c r="A19" s="187">
        <v>15</v>
      </c>
      <c r="B19" s="187">
        <v>4510</v>
      </c>
      <c r="C19" s="187" t="s">
        <v>403</v>
      </c>
      <c r="D19" s="186" t="s">
        <v>427</v>
      </c>
      <c r="E19" s="185" t="s">
        <v>426</v>
      </c>
      <c r="F19" s="184">
        <v>58500</v>
      </c>
      <c r="G19" s="188">
        <f>F19-F17</f>
        <v>3000</v>
      </c>
      <c r="H19" s="183"/>
      <c r="I19" s="183"/>
      <c r="J19" s="183"/>
      <c r="K19" s="183"/>
    </row>
    <row r="20" spans="1:11" x14ac:dyDescent="0.25">
      <c r="A20" s="187">
        <v>16</v>
      </c>
      <c r="B20" s="187">
        <v>4510</v>
      </c>
      <c r="C20" s="187" t="s">
        <v>403</v>
      </c>
      <c r="D20" s="186" t="s">
        <v>427</v>
      </c>
      <c r="E20" s="185" t="s">
        <v>412</v>
      </c>
      <c r="F20" s="184">
        <v>58950</v>
      </c>
      <c r="G20" s="188"/>
      <c r="H20" s="188"/>
      <c r="I20" s="188">
        <f>F20-F7</f>
        <v>17950</v>
      </c>
      <c r="J20" s="183"/>
      <c r="K20" s="183"/>
    </row>
    <row r="21" spans="1:11" x14ac:dyDescent="0.25">
      <c r="A21" s="187">
        <v>17</v>
      </c>
      <c r="B21" s="187">
        <v>4510</v>
      </c>
      <c r="C21" s="187" t="s">
        <v>403</v>
      </c>
      <c r="D21" s="186" t="s">
        <v>428</v>
      </c>
      <c r="E21" s="185" t="s">
        <v>426</v>
      </c>
      <c r="F21" s="184">
        <v>61500</v>
      </c>
      <c r="G21" s="188">
        <f>F21-F19</f>
        <v>3000</v>
      </c>
      <c r="H21" s="183"/>
      <c r="I21" s="183"/>
      <c r="J21" s="183"/>
      <c r="K21" s="183"/>
    </row>
    <row r="22" spans="1:11" x14ac:dyDescent="0.25">
      <c r="A22" s="187">
        <v>18</v>
      </c>
      <c r="B22" s="187">
        <v>4510</v>
      </c>
      <c r="C22" s="187" t="s">
        <v>403</v>
      </c>
      <c r="D22" s="186" t="s">
        <v>427</v>
      </c>
      <c r="E22" s="185" t="s">
        <v>426</v>
      </c>
      <c r="F22" s="184">
        <v>64450</v>
      </c>
      <c r="G22" s="188">
        <f>F22-F21</f>
        <v>2950</v>
      </c>
      <c r="H22" s="183"/>
      <c r="I22" s="183"/>
      <c r="J22" s="183"/>
      <c r="K22" s="183"/>
    </row>
    <row r="23" spans="1:11" x14ac:dyDescent="0.25">
      <c r="A23" s="187">
        <v>19</v>
      </c>
      <c r="B23" s="187">
        <v>4510</v>
      </c>
      <c r="C23" s="187" t="s">
        <v>403</v>
      </c>
      <c r="D23" s="186" t="s">
        <v>428</v>
      </c>
      <c r="E23" s="185" t="s">
        <v>426</v>
      </c>
      <c r="F23" s="184">
        <v>67150</v>
      </c>
      <c r="G23" s="188">
        <f>F23-F22</f>
        <v>2700</v>
      </c>
      <c r="H23" s="183"/>
      <c r="I23" s="183"/>
      <c r="J23" s="183"/>
      <c r="K23" s="183"/>
    </row>
    <row r="24" spans="1:11" x14ac:dyDescent="0.25">
      <c r="A24" s="187">
        <v>20</v>
      </c>
      <c r="B24" s="187">
        <v>4510</v>
      </c>
      <c r="C24" s="187" t="s">
        <v>403</v>
      </c>
      <c r="D24" s="186" t="s">
        <v>430</v>
      </c>
      <c r="E24" s="185" t="s">
        <v>413</v>
      </c>
      <c r="F24" s="184">
        <v>69000</v>
      </c>
      <c r="G24" s="188"/>
      <c r="H24" s="183"/>
      <c r="I24" s="188"/>
      <c r="J24" s="188">
        <v>68434</v>
      </c>
      <c r="K24" s="183" t="s">
        <v>433</v>
      </c>
    </row>
    <row r="25" spans="1:11" x14ac:dyDescent="0.25">
      <c r="A25" s="187">
        <v>21</v>
      </c>
      <c r="B25" s="187">
        <v>4510</v>
      </c>
      <c r="C25" s="187" t="s">
        <v>403</v>
      </c>
      <c r="D25" s="186" t="s">
        <v>427</v>
      </c>
      <c r="E25" s="185" t="s">
        <v>426</v>
      </c>
      <c r="F25" s="184">
        <v>70150</v>
      </c>
      <c r="G25" s="188">
        <f>F25-F23</f>
        <v>3000</v>
      </c>
      <c r="H25" s="183"/>
      <c r="I25" s="183"/>
      <c r="J25" s="183"/>
      <c r="K25" s="183"/>
    </row>
    <row r="26" spans="1:11" x14ac:dyDescent="0.25">
      <c r="A26" s="187">
        <v>22</v>
      </c>
      <c r="B26" s="187">
        <v>4510</v>
      </c>
      <c r="C26" s="187" t="s">
        <v>403</v>
      </c>
      <c r="D26" s="186" t="s">
        <v>428</v>
      </c>
      <c r="E26" s="185" t="s">
        <v>426</v>
      </c>
      <c r="F26" s="184">
        <v>73110</v>
      </c>
      <c r="G26" s="188">
        <f>F26-F25</f>
        <v>2960</v>
      </c>
      <c r="H26" s="183"/>
      <c r="I26" s="183"/>
      <c r="J26" s="183"/>
      <c r="K26" s="183"/>
    </row>
    <row r="27" spans="1:11" x14ac:dyDescent="0.25">
      <c r="A27" s="187">
        <v>23</v>
      </c>
      <c r="B27" s="187">
        <v>4510</v>
      </c>
      <c r="C27" s="187" t="s">
        <v>403</v>
      </c>
      <c r="D27" s="186" t="s">
        <v>427</v>
      </c>
      <c r="E27" s="185" t="s">
        <v>426</v>
      </c>
      <c r="F27" s="184">
        <v>76020</v>
      </c>
      <c r="G27" s="188">
        <f>F27-F26</f>
        <v>2910</v>
      </c>
      <c r="H27" s="183"/>
      <c r="I27" s="183"/>
      <c r="J27" s="183"/>
      <c r="K27" s="183"/>
    </row>
    <row r="28" spans="1:11" x14ac:dyDescent="0.25">
      <c r="A28" s="187">
        <v>24</v>
      </c>
      <c r="B28" s="187">
        <v>4510</v>
      </c>
      <c r="C28" s="187" t="s">
        <v>403</v>
      </c>
      <c r="D28" s="186" t="s">
        <v>428</v>
      </c>
      <c r="E28" s="185" t="s">
        <v>412</v>
      </c>
      <c r="F28" s="184">
        <v>77350</v>
      </c>
      <c r="G28" s="188"/>
      <c r="H28" s="188">
        <f>F28-F18</f>
        <v>20000</v>
      </c>
      <c r="I28" s="183"/>
      <c r="J28" s="183"/>
      <c r="K28" s="183"/>
    </row>
    <row r="29" spans="1:11" x14ac:dyDescent="0.25">
      <c r="A29" s="187">
        <v>25</v>
      </c>
      <c r="B29" s="187">
        <v>4510</v>
      </c>
      <c r="C29" s="187" t="s">
        <v>403</v>
      </c>
      <c r="D29" s="186" t="s">
        <v>428</v>
      </c>
      <c r="E29" s="185" t="s">
        <v>426</v>
      </c>
      <c r="F29" s="184">
        <v>78800</v>
      </c>
      <c r="G29" s="188">
        <f>F29-F27</f>
        <v>2780</v>
      </c>
      <c r="H29" s="183"/>
      <c r="I29" s="183"/>
      <c r="J29" s="183"/>
      <c r="K29" s="183"/>
    </row>
    <row r="30" spans="1:11" x14ac:dyDescent="0.25">
      <c r="A30" s="187">
        <v>26</v>
      </c>
      <c r="B30" s="187">
        <v>4510</v>
      </c>
      <c r="C30" s="187" t="s">
        <v>403</v>
      </c>
      <c r="D30" s="186" t="s">
        <v>427</v>
      </c>
      <c r="E30" s="185" t="s">
        <v>412</v>
      </c>
      <c r="F30" s="184">
        <v>78950</v>
      </c>
      <c r="G30" s="188"/>
      <c r="H30" s="183"/>
      <c r="I30" s="188">
        <f>F30-F20</f>
        <v>20000</v>
      </c>
      <c r="J30" s="183"/>
      <c r="K30" s="183"/>
    </row>
    <row r="31" spans="1:11" x14ac:dyDescent="0.25">
      <c r="A31" s="187">
        <v>27</v>
      </c>
      <c r="B31" s="187">
        <v>4510</v>
      </c>
      <c r="C31" s="187" t="s">
        <v>403</v>
      </c>
      <c r="D31" s="186" t="s">
        <v>430</v>
      </c>
      <c r="E31" s="185" t="s">
        <v>413</v>
      </c>
      <c r="F31" s="184">
        <v>81000</v>
      </c>
      <c r="G31" s="188"/>
      <c r="H31" s="183"/>
      <c r="I31" s="183"/>
      <c r="J31" s="183"/>
      <c r="K31" s="183"/>
    </row>
    <row r="32" spans="1:11" x14ac:dyDescent="0.25">
      <c r="A32" s="187">
        <v>28</v>
      </c>
      <c r="B32" s="187">
        <v>4510</v>
      </c>
      <c r="C32" s="187" t="s">
        <v>403</v>
      </c>
      <c r="D32" s="186" t="s">
        <v>427</v>
      </c>
      <c r="E32" s="185" t="s">
        <v>426</v>
      </c>
      <c r="F32" s="184">
        <v>81500</v>
      </c>
      <c r="G32" s="188">
        <f>F32-F29</f>
        <v>2700</v>
      </c>
      <c r="H32" s="183"/>
      <c r="I32" s="183"/>
      <c r="J32" s="183"/>
      <c r="K32" s="183"/>
    </row>
    <row r="33" spans="1:11" x14ac:dyDescent="0.25">
      <c r="A33" s="187">
        <v>29</v>
      </c>
      <c r="B33" s="187">
        <v>4510</v>
      </c>
      <c r="C33" s="187" t="s">
        <v>403</v>
      </c>
      <c r="D33" s="186" t="s">
        <v>430</v>
      </c>
      <c r="E33" s="185" t="s">
        <v>415</v>
      </c>
      <c r="F33" s="184">
        <v>83250</v>
      </c>
      <c r="G33" s="188"/>
      <c r="H33" s="183"/>
      <c r="I33" s="183"/>
      <c r="J33" s="183"/>
      <c r="K33" s="183"/>
    </row>
    <row r="34" spans="1:11" x14ac:dyDescent="0.25">
      <c r="A34" s="187">
        <v>30</v>
      </c>
      <c r="B34" s="187">
        <v>4510</v>
      </c>
      <c r="C34" s="187" t="s">
        <v>403</v>
      </c>
      <c r="D34" s="186" t="s">
        <v>428</v>
      </c>
      <c r="E34" s="185" t="s">
        <v>426</v>
      </c>
      <c r="F34" s="184">
        <v>83950</v>
      </c>
      <c r="G34" s="188">
        <f>F34-F32</f>
        <v>2450</v>
      </c>
      <c r="H34" s="183"/>
      <c r="I34" s="183"/>
      <c r="J34" s="183"/>
      <c r="K34" s="183"/>
    </row>
    <row r="35" spans="1:11" x14ac:dyDescent="0.25">
      <c r="A35" s="187">
        <v>31</v>
      </c>
      <c r="B35" s="187">
        <v>4510</v>
      </c>
      <c r="C35" s="187">
        <v>1</v>
      </c>
      <c r="D35" s="186" t="s">
        <v>430</v>
      </c>
      <c r="E35" s="185" t="s">
        <v>413</v>
      </c>
      <c r="F35" s="184">
        <v>85370</v>
      </c>
      <c r="G35" s="188"/>
      <c r="H35" s="183"/>
      <c r="I35" s="183"/>
      <c r="J35" s="183"/>
      <c r="K35" s="183"/>
    </row>
    <row r="36" spans="1:11" x14ac:dyDescent="0.25">
      <c r="A36" s="187">
        <v>32</v>
      </c>
      <c r="B36" s="187">
        <v>4510</v>
      </c>
      <c r="C36" s="187">
        <v>1</v>
      </c>
      <c r="D36" s="186" t="s">
        <v>427</v>
      </c>
      <c r="E36" s="185" t="s">
        <v>426</v>
      </c>
      <c r="F36" s="184">
        <v>86900</v>
      </c>
      <c r="G36" s="188">
        <f>F36-F34</f>
        <v>2950</v>
      </c>
      <c r="H36" s="183"/>
      <c r="I36" s="183"/>
      <c r="J36" s="188">
        <v>86290</v>
      </c>
      <c r="K36" s="183" t="s">
        <v>433</v>
      </c>
    </row>
    <row r="37" spans="1:11" x14ac:dyDescent="0.25">
      <c r="A37" s="187">
        <v>33</v>
      </c>
      <c r="B37" s="187">
        <v>4510</v>
      </c>
      <c r="C37" s="187">
        <v>1</v>
      </c>
      <c r="D37" s="186" t="s">
        <v>430</v>
      </c>
      <c r="E37" s="185" t="s">
        <v>413</v>
      </c>
      <c r="F37" s="184">
        <v>87100</v>
      </c>
      <c r="G37" s="188"/>
      <c r="H37" s="183"/>
      <c r="I37" s="183"/>
      <c r="J37" s="183"/>
      <c r="K37" s="183"/>
    </row>
    <row r="38" spans="1:11" x14ac:dyDescent="0.25">
      <c r="A38" s="187">
        <v>34</v>
      </c>
      <c r="B38" s="187">
        <v>4510</v>
      </c>
      <c r="C38" s="187" t="s">
        <v>403</v>
      </c>
      <c r="D38" s="186" t="s">
        <v>428</v>
      </c>
      <c r="E38" s="185" t="s">
        <v>426</v>
      </c>
      <c r="F38" s="184">
        <v>89780</v>
      </c>
      <c r="G38" s="188">
        <f>F38-F36</f>
        <v>2880</v>
      </c>
      <c r="H38" s="183"/>
      <c r="I38" s="183"/>
      <c r="J38" s="183"/>
      <c r="K38" s="183"/>
    </row>
    <row r="39" spans="1:11" x14ac:dyDescent="0.25">
      <c r="A39" s="187">
        <v>35</v>
      </c>
      <c r="B39" s="187">
        <v>4510</v>
      </c>
      <c r="C39" s="187">
        <v>5.0999999999999996</v>
      </c>
      <c r="D39" s="186" t="s">
        <v>430</v>
      </c>
      <c r="E39" s="185" t="s">
        <v>413</v>
      </c>
      <c r="F39" s="184">
        <v>91850</v>
      </c>
      <c r="G39" s="188"/>
      <c r="H39" s="183"/>
      <c r="I39" s="183"/>
      <c r="J39" s="183"/>
      <c r="K39" s="183"/>
    </row>
    <row r="40" spans="1:11" x14ac:dyDescent="0.25">
      <c r="A40" s="187">
        <v>36</v>
      </c>
      <c r="B40" s="187">
        <v>4510</v>
      </c>
      <c r="C40" s="187">
        <v>1</v>
      </c>
      <c r="D40" s="186" t="s">
        <v>427</v>
      </c>
      <c r="E40" s="185" t="s">
        <v>426</v>
      </c>
      <c r="F40" s="184">
        <v>92520</v>
      </c>
      <c r="G40" s="188">
        <f>F40-F38</f>
        <v>2740</v>
      </c>
      <c r="H40" s="183"/>
      <c r="I40" s="183"/>
      <c r="J40" s="183"/>
      <c r="K40" s="183"/>
    </row>
    <row r="41" spans="1:11" x14ac:dyDescent="0.25">
      <c r="A41" s="187">
        <v>37</v>
      </c>
      <c r="B41" s="187">
        <v>4510</v>
      </c>
      <c r="C41" s="187">
        <v>1</v>
      </c>
      <c r="D41" s="186" t="s">
        <v>430</v>
      </c>
      <c r="E41" s="185" t="s">
        <v>413</v>
      </c>
      <c r="F41" s="184">
        <v>93920</v>
      </c>
      <c r="G41" s="188"/>
      <c r="H41" s="183"/>
      <c r="I41" s="183"/>
      <c r="J41" s="183"/>
      <c r="K41" s="183"/>
    </row>
    <row r="42" spans="1:11" x14ac:dyDescent="0.25">
      <c r="A42" s="187">
        <v>38</v>
      </c>
      <c r="B42" s="187">
        <v>4510</v>
      </c>
      <c r="C42" s="187" t="s">
        <v>403</v>
      </c>
      <c r="D42" s="186" t="s">
        <v>428</v>
      </c>
      <c r="E42" s="185" t="s">
        <v>426</v>
      </c>
      <c r="F42" s="184">
        <v>95300</v>
      </c>
      <c r="G42" s="188">
        <f>F42-F40</f>
        <v>2780</v>
      </c>
      <c r="H42" s="183"/>
      <c r="I42" s="183"/>
      <c r="J42" s="183"/>
      <c r="K42" s="183"/>
    </row>
    <row r="43" spans="1:11" x14ac:dyDescent="0.25">
      <c r="A43" s="187">
        <v>39</v>
      </c>
      <c r="B43" s="187">
        <v>4510</v>
      </c>
      <c r="C43" s="187" t="s">
        <v>403</v>
      </c>
      <c r="D43" s="186" t="s">
        <v>430</v>
      </c>
      <c r="E43" s="185" t="s">
        <v>413</v>
      </c>
      <c r="F43" s="184">
        <v>97030</v>
      </c>
      <c r="G43" s="188"/>
      <c r="H43" s="183"/>
      <c r="I43" s="183"/>
      <c r="J43" s="188">
        <v>96890</v>
      </c>
      <c r="K43" s="183" t="s">
        <v>443</v>
      </c>
    </row>
    <row r="44" spans="1:11" x14ac:dyDescent="0.25">
      <c r="A44" s="187">
        <v>40</v>
      </c>
      <c r="B44" s="187">
        <v>4510</v>
      </c>
      <c r="C44" s="187" t="s">
        <v>403</v>
      </c>
      <c r="D44" s="186" t="s">
        <v>428</v>
      </c>
      <c r="E44" s="185" t="s">
        <v>412</v>
      </c>
      <c r="F44" s="184">
        <v>97250</v>
      </c>
      <c r="G44" s="188"/>
      <c r="H44" s="188">
        <f>F44-F28</f>
        <v>19900</v>
      </c>
      <c r="I44" s="183"/>
      <c r="J44" s="183"/>
      <c r="K44" s="183"/>
    </row>
    <row r="45" spans="1:11" x14ac:dyDescent="0.25">
      <c r="A45" s="187">
        <v>41</v>
      </c>
      <c r="B45" s="187">
        <v>4510</v>
      </c>
      <c r="C45" s="187" t="s">
        <v>403</v>
      </c>
      <c r="D45" s="186" t="s">
        <v>427</v>
      </c>
      <c r="E45" s="185" t="s">
        <v>426</v>
      </c>
      <c r="F45" s="184">
        <v>98250</v>
      </c>
      <c r="G45" s="188">
        <f>F45-F42</f>
        <v>2950</v>
      </c>
      <c r="H45" s="183"/>
      <c r="I45" s="183"/>
      <c r="J45" s="183"/>
      <c r="K45" s="183"/>
    </row>
    <row r="46" spans="1:11" x14ac:dyDescent="0.25">
      <c r="A46" s="187">
        <v>42</v>
      </c>
      <c r="B46" s="187">
        <v>4510</v>
      </c>
      <c r="C46" s="187" t="s">
        <v>403</v>
      </c>
      <c r="D46" s="186" t="s">
        <v>427</v>
      </c>
      <c r="E46" s="185" t="s">
        <v>412</v>
      </c>
      <c r="F46" s="184">
        <v>98750</v>
      </c>
      <c r="G46" s="188"/>
      <c r="H46" s="183"/>
      <c r="I46" s="188">
        <f>F46-F30</f>
        <v>19800</v>
      </c>
      <c r="J46" s="183"/>
      <c r="K46" s="183"/>
    </row>
    <row r="47" spans="1:11" x14ac:dyDescent="0.25">
      <c r="A47" s="187">
        <v>43</v>
      </c>
      <c r="B47" s="187">
        <v>4510</v>
      </c>
      <c r="C47" s="187" t="s">
        <v>403</v>
      </c>
      <c r="D47" s="186" t="s">
        <v>428</v>
      </c>
      <c r="E47" s="185" t="s">
        <v>426</v>
      </c>
      <c r="F47" s="184">
        <v>100750</v>
      </c>
      <c r="G47" s="188">
        <f>F47-F45</f>
        <v>2500</v>
      </c>
      <c r="H47" s="183"/>
      <c r="I47" s="183"/>
      <c r="J47" s="183"/>
      <c r="K47" s="183"/>
    </row>
    <row r="48" spans="1:11" x14ac:dyDescent="0.25">
      <c r="A48" s="187">
        <v>44</v>
      </c>
      <c r="B48" s="187">
        <v>4510</v>
      </c>
      <c r="C48" s="187" t="s">
        <v>403</v>
      </c>
      <c r="D48" s="186" t="s">
        <v>427</v>
      </c>
      <c r="E48" s="185" t="s">
        <v>426</v>
      </c>
      <c r="F48" s="184">
        <v>102800</v>
      </c>
      <c r="G48" s="188">
        <f>F48-F47</f>
        <v>2050</v>
      </c>
      <c r="H48" s="183"/>
      <c r="I48" s="183"/>
      <c r="J48" s="183"/>
      <c r="K48" s="183"/>
    </row>
    <row r="49" spans="1:11" x14ac:dyDescent="0.25">
      <c r="A49" s="187">
        <v>45</v>
      </c>
      <c r="B49" s="187">
        <v>4510</v>
      </c>
      <c r="C49" s="187" t="s">
        <v>403</v>
      </c>
      <c r="D49" s="186" t="s">
        <v>430</v>
      </c>
      <c r="E49" s="185" t="s">
        <v>413</v>
      </c>
      <c r="F49" s="184">
        <v>104150</v>
      </c>
      <c r="G49" s="188"/>
      <c r="H49" s="183"/>
      <c r="I49" s="183"/>
      <c r="J49" s="188">
        <v>104100</v>
      </c>
      <c r="K49" s="183" t="s">
        <v>442</v>
      </c>
    </row>
    <row r="50" spans="1:11" x14ac:dyDescent="0.25">
      <c r="A50" s="187">
        <v>46</v>
      </c>
      <c r="B50" s="187">
        <v>4510</v>
      </c>
      <c r="C50" s="187" t="s">
        <v>403</v>
      </c>
      <c r="D50" s="186" t="s">
        <v>428</v>
      </c>
      <c r="E50" s="185" t="s">
        <v>426</v>
      </c>
      <c r="F50" s="184">
        <v>105360</v>
      </c>
      <c r="G50" s="188">
        <f>F50-F48</f>
        <v>2560</v>
      </c>
      <c r="H50" s="183"/>
      <c r="I50" s="183"/>
      <c r="J50" s="183"/>
      <c r="K50" s="183"/>
    </row>
    <row r="51" spans="1:11" x14ac:dyDescent="0.25">
      <c r="A51" s="187">
        <v>47</v>
      </c>
      <c r="B51" s="187">
        <v>4510</v>
      </c>
      <c r="C51" s="187" t="s">
        <v>403</v>
      </c>
      <c r="D51" s="186" t="s">
        <v>427</v>
      </c>
      <c r="E51" s="185" t="s">
        <v>426</v>
      </c>
      <c r="F51" s="184">
        <v>108130</v>
      </c>
      <c r="G51" s="188">
        <f>F51-F50</f>
        <v>2770</v>
      </c>
      <c r="H51" s="183"/>
      <c r="I51" s="183"/>
      <c r="J51" s="188">
        <v>109357</v>
      </c>
      <c r="K51" s="183" t="s">
        <v>433</v>
      </c>
    </row>
    <row r="52" spans="1:11" x14ac:dyDescent="0.25">
      <c r="A52" s="187">
        <v>48</v>
      </c>
      <c r="B52" s="187">
        <v>4510</v>
      </c>
      <c r="C52" s="187" t="s">
        <v>403</v>
      </c>
      <c r="D52" s="186" t="s">
        <v>428</v>
      </c>
      <c r="E52" s="185" t="s">
        <v>426</v>
      </c>
      <c r="F52" s="184">
        <v>111070</v>
      </c>
      <c r="G52" s="188">
        <f>F52-F51</f>
        <v>2940</v>
      </c>
      <c r="H52" s="183"/>
      <c r="I52" s="183"/>
      <c r="J52" s="183"/>
      <c r="K52" s="183"/>
    </row>
    <row r="53" spans="1:11" x14ac:dyDescent="0.25">
      <c r="A53" s="187">
        <v>49</v>
      </c>
      <c r="B53" s="187">
        <v>4510</v>
      </c>
      <c r="C53" s="187" t="s">
        <v>403</v>
      </c>
      <c r="D53" s="186" t="s">
        <v>427</v>
      </c>
      <c r="E53" s="185" t="s">
        <v>426</v>
      </c>
      <c r="F53" s="184">
        <v>114050</v>
      </c>
      <c r="G53" s="188">
        <f>F53-F52</f>
        <v>2980</v>
      </c>
      <c r="H53" s="183"/>
      <c r="I53" s="183"/>
      <c r="J53" s="183"/>
      <c r="K53" s="183"/>
    </row>
    <row r="54" spans="1:11" x14ac:dyDescent="0.25">
      <c r="A54" s="187">
        <v>50</v>
      </c>
      <c r="B54" s="187">
        <v>4510</v>
      </c>
      <c r="C54" s="187" t="s">
        <v>403</v>
      </c>
      <c r="D54" s="186" t="s">
        <v>428</v>
      </c>
      <c r="E54" s="185" t="s">
        <v>436</v>
      </c>
      <c r="F54" s="184">
        <v>116200</v>
      </c>
      <c r="G54" s="188"/>
      <c r="H54" s="183"/>
      <c r="I54" s="183"/>
      <c r="J54" s="183"/>
      <c r="K54" s="183"/>
    </row>
    <row r="55" spans="1:11" x14ac:dyDescent="0.25">
      <c r="A55" s="187">
        <v>51</v>
      </c>
      <c r="B55" s="187">
        <v>4510</v>
      </c>
      <c r="C55" s="187" t="s">
        <v>403</v>
      </c>
      <c r="D55" s="186" t="s">
        <v>427</v>
      </c>
      <c r="E55" s="185" t="s">
        <v>436</v>
      </c>
      <c r="F55" s="184">
        <v>116200</v>
      </c>
      <c r="G55" s="188"/>
      <c r="H55" s="183"/>
      <c r="I55" s="183"/>
      <c r="J55" s="188">
        <v>115673</v>
      </c>
      <c r="K55" s="183" t="s">
        <v>433</v>
      </c>
    </row>
    <row r="56" spans="1:11" x14ac:dyDescent="0.25">
      <c r="A56" s="187">
        <v>52</v>
      </c>
      <c r="B56" s="187">
        <v>4510</v>
      </c>
      <c r="C56" s="187" t="s">
        <v>403</v>
      </c>
      <c r="D56" s="186" t="s">
        <v>428</v>
      </c>
      <c r="E56" s="185" t="s">
        <v>414</v>
      </c>
      <c r="F56" s="184">
        <v>116200</v>
      </c>
      <c r="G56" s="188"/>
      <c r="H56" s="183"/>
      <c r="I56" s="183"/>
      <c r="J56" s="183"/>
      <c r="K56" s="183"/>
    </row>
    <row r="57" spans="1:11" x14ac:dyDescent="0.25">
      <c r="A57" s="187">
        <v>53</v>
      </c>
      <c r="B57" s="187">
        <v>4510</v>
      </c>
      <c r="C57" s="187" t="s">
        <v>403</v>
      </c>
      <c r="D57" s="186" t="s">
        <v>428</v>
      </c>
      <c r="E57" s="185" t="s">
        <v>426</v>
      </c>
      <c r="F57" s="184">
        <v>117020</v>
      </c>
      <c r="G57" s="188">
        <f>F57-F53</f>
        <v>2970</v>
      </c>
      <c r="H57" s="183"/>
      <c r="I57" s="183"/>
      <c r="J57" s="183"/>
      <c r="K57" s="183"/>
    </row>
    <row r="58" spans="1:11" x14ac:dyDescent="0.25">
      <c r="A58" s="187">
        <v>54</v>
      </c>
      <c r="B58" s="187">
        <v>4510</v>
      </c>
      <c r="C58" s="187" t="s">
        <v>403</v>
      </c>
      <c r="D58" s="186" t="s">
        <v>428</v>
      </c>
      <c r="E58" s="185" t="s">
        <v>412</v>
      </c>
      <c r="F58" s="184">
        <v>117250</v>
      </c>
      <c r="G58" s="188"/>
      <c r="H58" s="188">
        <f>F58-F44</f>
        <v>20000</v>
      </c>
      <c r="I58" s="183"/>
      <c r="J58" s="183"/>
      <c r="K58" s="183"/>
    </row>
    <row r="59" spans="1:11" x14ac:dyDescent="0.25">
      <c r="A59" s="187">
        <v>55</v>
      </c>
      <c r="B59" s="187">
        <v>4510</v>
      </c>
      <c r="C59" s="187" t="s">
        <v>403</v>
      </c>
      <c r="D59" s="186" t="s">
        <v>427</v>
      </c>
      <c r="E59" s="185" t="s">
        <v>412</v>
      </c>
      <c r="F59" s="184">
        <v>118660</v>
      </c>
      <c r="G59" s="188"/>
      <c r="H59" s="183"/>
      <c r="I59" s="188">
        <f>F59-F46</f>
        <v>19910</v>
      </c>
      <c r="J59" s="183"/>
      <c r="K59" s="183"/>
    </row>
    <row r="60" spans="1:11" x14ac:dyDescent="0.25">
      <c r="A60" s="187">
        <v>56</v>
      </c>
      <c r="B60" s="187">
        <v>4510</v>
      </c>
      <c r="C60" s="187" t="s">
        <v>403</v>
      </c>
      <c r="D60" s="186" t="s">
        <v>427</v>
      </c>
      <c r="E60" s="185" t="s">
        <v>426</v>
      </c>
      <c r="F60" s="184">
        <v>119940</v>
      </c>
      <c r="G60" s="188">
        <f>F60-F57</f>
        <v>2920</v>
      </c>
      <c r="H60" s="183"/>
      <c r="I60" s="183"/>
      <c r="J60" s="183"/>
      <c r="K60" s="183"/>
    </row>
    <row r="61" spans="1:11" x14ac:dyDescent="0.25">
      <c r="A61" s="187">
        <v>57</v>
      </c>
      <c r="B61" s="187">
        <v>4510</v>
      </c>
      <c r="C61" s="187" t="s">
        <v>403</v>
      </c>
      <c r="D61" s="186" t="s">
        <v>428</v>
      </c>
      <c r="E61" s="185" t="s">
        <v>426</v>
      </c>
      <c r="F61" s="184">
        <v>122940</v>
      </c>
      <c r="G61" s="188">
        <f>F61-F60</f>
        <v>3000</v>
      </c>
      <c r="H61" s="183"/>
      <c r="I61" s="183"/>
      <c r="J61" s="188">
        <v>123806</v>
      </c>
      <c r="K61" s="183" t="s">
        <v>433</v>
      </c>
    </row>
    <row r="62" spans="1:11" x14ac:dyDescent="0.25">
      <c r="A62" s="187">
        <v>58</v>
      </c>
      <c r="B62" s="187">
        <v>4510</v>
      </c>
      <c r="C62" s="187">
        <v>2</v>
      </c>
      <c r="D62" s="186" t="s">
        <v>427</v>
      </c>
      <c r="E62" s="185" t="s">
        <v>426</v>
      </c>
      <c r="F62" s="184">
        <v>125940</v>
      </c>
      <c r="G62" s="188">
        <f>F62-F61</f>
        <v>3000</v>
      </c>
      <c r="H62" s="183"/>
      <c r="I62" s="183"/>
      <c r="J62" s="188">
        <v>125514</v>
      </c>
      <c r="K62" s="183" t="s">
        <v>433</v>
      </c>
    </row>
    <row r="63" spans="1:11" x14ac:dyDescent="0.25">
      <c r="A63" s="187">
        <v>59</v>
      </c>
      <c r="B63" s="187">
        <v>4510</v>
      </c>
      <c r="C63" s="187">
        <v>5.0999999999999996</v>
      </c>
      <c r="D63" s="186" t="s">
        <v>428</v>
      </c>
      <c r="E63" s="185" t="s">
        <v>426</v>
      </c>
      <c r="F63" s="184">
        <v>128840</v>
      </c>
      <c r="G63" s="188">
        <f>F63-F62</f>
        <v>2900</v>
      </c>
      <c r="H63" s="183"/>
      <c r="I63" s="183"/>
      <c r="J63" s="183"/>
      <c r="K63" s="183"/>
    </row>
    <row r="64" spans="1:11" x14ac:dyDescent="0.25">
      <c r="A64" s="187">
        <v>60</v>
      </c>
      <c r="B64" s="187">
        <v>4510</v>
      </c>
      <c r="C64" s="187" t="s">
        <v>403</v>
      </c>
      <c r="D64" s="186" t="s">
        <v>427</v>
      </c>
      <c r="E64" s="185" t="s">
        <v>426</v>
      </c>
      <c r="F64" s="184">
        <v>131700</v>
      </c>
      <c r="G64" s="188">
        <f>F64-F63</f>
        <v>2860</v>
      </c>
      <c r="H64" s="183"/>
      <c r="I64" s="183"/>
      <c r="J64" s="188">
        <v>130000</v>
      </c>
      <c r="K64" s="183" t="s">
        <v>433</v>
      </c>
    </row>
    <row r="65" spans="1:11" x14ac:dyDescent="0.25">
      <c r="A65" s="187">
        <v>61</v>
      </c>
      <c r="B65" s="187">
        <v>4511</v>
      </c>
      <c r="C65" s="187">
        <v>5.0999999999999996</v>
      </c>
      <c r="D65" s="186" t="s">
        <v>428</v>
      </c>
      <c r="E65" s="185" t="s">
        <v>426</v>
      </c>
      <c r="F65" s="184">
        <v>650</v>
      </c>
      <c r="G65" s="188">
        <f>(J65-F64)+F65</f>
        <v>2982</v>
      </c>
      <c r="H65" s="183"/>
      <c r="I65" s="183"/>
      <c r="J65" s="188">
        <v>134032</v>
      </c>
      <c r="K65" s="183" t="s">
        <v>441</v>
      </c>
    </row>
    <row r="66" spans="1:11" x14ac:dyDescent="0.25">
      <c r="A66" s="187">
        <v>62</v>
      </c>
      <c r="B66" s="187">
        <v>4511</v>
      </c>
      <c r="C66" s="187">
        <v>5.0999999999999996</v>
      </c>
      <c r="D66" s="186" t="s">
        <v>428</v>
      </c>
      <c r="E66" s="185" t="s">
        <v>412</v>
      </c>
      <c r="F66" s="184">
        <v>2790</v>
      </c>
      <c r="G66" s="188"/>
      <c r="H66" s="188">
        <f>F66+(J65-F58)</f>
        <v>19572</v>
      </c>
      <c r="I66" s="183"/>
      <c r="J66" s="183"/>
      <c r="K66" s="183"/>
    </row>
    <row r="67" spans="1:11" x14ac:dyDescent="0.25">
      <c r="A67" s="187">
        <v>63</v>
      </c>
      <c r="B67" s="187">
        <v>4511</v>
      </c>
      <c r="C67" s="187" t="s">
        <v>403</v>
      </c>
      <c r="D67" s="186" t="s">
        <v>427</v>
      </c>
      <c r="E67" s="185" t="s">
        <v>426</v>
      </c>
      <c r="F67" s="184">
        <v>3550</v>
      </c>
      <c r="G67" s="188">
        <f>F67-F65</f>
        <v>2900</v>
      </c>
      <c r="H67" s="183"/>
      <c r="I67" s="183"/>
      <c r="J67" s="183"/>
      <c r="K67" s="183"/>
    </row>
    <row r="68" spans="1:11" x14ac:dyDescent="0.25">
      <c r="A68" s="187">
        <v>64</v>
      </c>
      <c r="B68" s="187">
        <v>4511</v>
      </c>
      <c r="C68" s="187" t="s">
        <v>403</v>
      </c>
      <c r="D68" s="186" t="s">
        <v>427</v>
      </c>
      <c r="E68" s="185" t="s">
        <v>414</v>
      </c>
      <c r="F68" s="184">
        <v>3600</v>
      </c>
      <c r="G68" s="188"/>
      <c r="H68" s="183"/>
      <c r="I68" s="183"/>
      <c r="J68" s="183"/>
      <c r="K68" s="183"/>
    </row>
    <row r="69" spans="1:11" x14ac:dyDescent="0.25">
      <c r="A69" s="187">
        <v>65</v>
      </c>
      <c r="B69" s="187">
        <v>4511</v>
      </c>
      <c r="C69" s="187" t="s">
        <v>403</v>
      </c>
      <c r="D69" s="186" t="s">
        <v>427</v>
      </c>
      <c r="E69" s="185" t="s">
        <v>412</v>
      </c>
      <c r="F69" s="184">
        <v>4200</v>
      </c>
      <c r="G69" s="188"/>
      <c r="H69" s="183"/>
      <c r="I69" s="188">
        <f>F69+(J65-F59)</f>
        <v>19572</v>
      </c>
      <c r="J69" s="188">
        <v>4261</v>
      </c>
      <c r="K69" s="183" t="s">
        <v>433</v>
      </c>
    </row>
    <row r="70" spans="1:11" x14ac:dyDescent="0.25">
      <c r="A70" s="187">
        <v>66</v>
      </c>
      <c r="B70" s="187">
        <v>4511</v>
      </c>
      <c r="C70" s="187" t="s">
        <v>403</v>
      </c>
      <c r="D70" s="186" t="s">
        <v>428</v>
      </c>
      <c r="E70" s="185" t="s">
        <v>426</v>
      </c>
      <c r="F70" s="184">
        <v>6450</v>
      </c>
      <c r="G70" s="188">
        <f>F70-F67</f>
        <v>2900</v>
      </c>
      <c r="H70" s="183"/>
      <c r="I70" s="183"/>
      <c r="J70" s="183"/>
      <c r="K70" s="183"/>
    </row>
    <row r="71" spans="1:11" x14ac:dyDescent="0.25">
      <c r="A71" s="187">
        <v>67</v>
      </c>
      <c r="B71" s="187">
        <v>4511</v>
      </c>
      <c r="C71" s="187">
        <v>5.0999999999999996</v>
      </c>
      <c r="D71" s="186" t="s">
        <v>428</v>
      </c>
      <c r="E71" s="185" t="s">
        <v>413</v>
      </c>
      <c r="F71" s="184">
        <v>9100</v>
      </c>
      <c r="G71" s="183"/>
      <c r="H71" s="183"/>
      <c r="I71" s="183"/>
      <c r="J71" s="183"/>
      <c r="K71" s="183"/>
    </row>
    <row r="72" spans="1:11" x14ac:dyDescent="0.25">
      <c r="A72" s="187">
        <v>68</v>
      </c>
      <c r="B72" s="187">
        <v>4511</v>
      </c>
      <c r="C72" s="187">
        <v>5.0999999999999996</v>
      </c>
      <c r="D72" s="186" t="s">
        <v>428</v>
      </c>
      <c r="E72" s="185" t="s">
        <v>415</v>
      </c>
      <c r="F72" s="184">
        <v>9200</v>
      </c>
      <c r="G72" s="183"/>
      <c r="H72" s="183"/>
      <c r="I72" s="183"/>
      <c r="J72" s="188">
        <v>9150</v>
      </c>
      <c r="K72" s="183" t="s">
        <v>440</v>
      </c>
    </row>
    <row r="73" spans="1:11" x14ac:dyDescent="0.25">
      <c r="A73" s="187">
        <v>69</v>
      </c>
      <c r="B73" s="187">
        <v>4511</v>
      </c>
      <c r="C73" s="187" t="s">
        <v>403</v>
      </c>
      <c r="D73" s="186" t="s">
        <v>430</v>
      </c>
      <c r="E73" s="185" t="s">
        <v>413</v>
      </c>
      <c r="F73" s="184">
        <v>9365</v>
      </c>
      <c r="G73" s="183"/>
      <c r="H73" s="188"/>
      <c r="I73" s="183"/>
      <c r="J73" s="183"/>
      <c r="K73" s="183"/>
    </row>
    <row r="74" spans="1:11" x14ac:dyDescent="0.25">
      <c r="A74" s="187">
        <v>70</v>
      </c>
      <c r="B74" s="187">
        <v>4511</v>
      </c>
      <c r="C74" s="187">
        <v>2</v>
      </c>
      <c r="D74" s="191" t="s">
        <v>427</v>
      </c>
      <c r="E74" s="185" t="s">
        <v>426</v>
      </c>
      <c r="F74" s="184">
        <v>11155</v>
      </c>
      <c r="G74" s="188">
        <f>F74-F70</f>
        <v>4705</v>
      </c>
      <c r="H74" s="183"/>
      <c r="I74" s="183"/>
      <c r="J74" s="183"/>
      <c r="K74" s="183"/>
    </row>
    <row r="75" spans="1:11" x14ac:dyDescent="0.25">
      <c r="A75" s="187">
        <v>71</v>
      </c>
      <c r="B75" s="187">
        <v>4511</v>
      </c>
      <c r="C75" s="187">
        <v>2</v>
      </c>
      <c r="D75" s="186" t="s">
        <v>430</v>
      </c>
      <c r="E75" s="185" t="s">
        <v>413</v>
      </c>
      <c r="F75" s="184">
        <v>13470</v>
      </c>
      <c r="G75" s="183"/>
      <c r="H75" s="183"/>
      <c r="I75" s="183"/>
      <c r="J75" s="183"/>
      <c r="K75" s="183"/>
    </row>
    <row r="76" spans="1:11" x14ac:dyDescent="0.25">
      <c r="A76" s="187">
        <v>72</v>
      </c>
      <c r="B76" s="187">
        <v>4511</v>
      </c>
      <c r="C76" s="187">
        <v>2</v>
      </c>
      <c r="D76" s="186" t="s">
        <v>428</v>
      </c>
      <c r="E76" s="185" t="s">
        <v>426</v>
      </c>
      <c r="F76" s="184">
        <v>13590</v>
      </c>
      <c r="G76" s="188">
        <f>F76-F74</f>
        <v>2435</v>
      </c>
      <c r="H76" s="183"/>
      <c r="I76" s="183"/>
      <c r="J76" s="183"/>
      <c r="K76" s="183"/>
    </row>
    <row r="77" spans="1:11" x14ac:dyDescent="0.25">
      <c r="A77" s="187">
        <v>73</v>
      </c>
      <c r="B77" s="187">
        <v>4511</v>
      </c>
      <c r="C77" s="187">
        <v>2</v>
      </c>
      <c r="D77" s="186" t="s">
        <v>428</v>
      </c>
      <c r="E77" s="185" t="s">
        <v>412</v>
      </c>
      <c r="F77" s="184">
        <v>14200</v>
      </c>
      <c r="G77" s="183"/>
      <c r="H77" s="188">
        <f>F77-F66</f>
        <v>11410</v>
      </c>
      <c r="I77" s="183"/>
      <c r="J77" s="188">
        <v>14131</v>
      </c>
      <c r="K77" s="183" t="s">
        <v>433</v>
      </c>
    </row>
    <row r="78" spans="1:11" x14ac:dyDescent="0.25">
      <c r="A78" s="187">
        <v>74</v>
      </c>
      <c r="B78" s="187">
        <v>4511</v>
      </c>
      <c r="C78" s="187">
        <v>2</v>
      </c>
      <c r="D78" s="186" t="s">
        <v>430</v>
      </c>
      <c r="E78" s="185" t="s">
        <v>413</v>
      </c>
      <c r="F78" s="184">
        <v>14500</v>
      </c>
      <c r="G78" s="183"/>
      <c r="H78" s="183"/>
      <c r="I78" s="183"/>
      <c r="J78" s="183"/>
      <c r="K78" s="183"/>
    </row>
    <row r="79" spans="1:11" x14ac:dyDescent="0.25">
      <c r="A79" s="187">
        <v>75</v>
      </c>
      <c r="B79" s="187">
        <v>4511</v>
      </c>
      <c r="C79" s="187">
        <v>2</v>
      </c>
      <c r="D79" s="186" t="s">
        <v>427</v>
      </c>
      <c r="E79" s="185" t="s">
        <v>426</v>
      </c>
      <c r="F79" s="184">
        <v>16460</v>
      </c>
      <c r="G79" s="188">
        <f>F79-F76</f>
        <v>2870</v>
      </c>
      <c r="H79" s="183"/>
      <c r="I79" s="183"/>
      <c r="J79" s="183"/>
      <c r="K79" s="183"/>
    </row>
    <row r="80" spans="1:11" x14ac:dyDescent="0.25">
      <c r="A80" s="187">
        <v>76</v>
      </c>
      <c r="B80" s="187">
        <v>4511</v>
      </c>
      <c r="C80" s="187">
        <v>5.0999999999999996</v>
      </c>
      <c r="D80" s="186" t="s">
        <v>428</v>
      </c>
      <c r="E80" s="185" t="s">
        <v>414</v>
      </c>
      <c r="F80" s="184">
        <v>16550</v>
      </c>
      <c r="G80" s="183"/>
      <c r="H80" s="183"/>
      <c r="I80" s="183"/>
      <c r="J80" s="183"/>
      <c r="K80" s="183"/>
    </row>
    <row r="81" spans="1:11" x14ac:dyDescent="0.25">
      <c r="A81" s="187">
        <v>77</v>
      </c>
      <c r="B81" s="187">
        <v>4511</v>
      </c>
      <c r="C81" s="187">
        <v>5.0999999999999996</v>
      </c>
      <c r="D81" s="186" t="s">
        <v>428</v>
      </c>
      <c r="E81" s="185" t="s">
        <v>426</v>
      </c>
      <c r="F81" s="184">
        <v>19390</v>
      </c>
      <c r="G81" s="188">
        <f>F81-F79</f>
        <v>2930</v>
      </c>
      <c r="H81" s="183"/>
      <c r="I81" s="183"/>
      <c r="J81" s="183"/>
      <c r="K81" s="183"/>
    </row>
    <row r="82" spans="1:11" x14ac:dyDescent="0.25">
      <c r="A82" s="187">
        <v>78</v>
      </c>
      <c r="B82" s="187">
        <v>4511</v>
      </c>
      <c r="C82" s="187" t="s">
        <v>403</v>
      </c>
      <c r="D82" s="186" t="s">
        <v>427</v>
      </c>
      <c r="E82" s="185" t="s">
        <v>426</v>
      </c>
      <c r="F82" s="184">
        <v>22300</v>
      </c>
      <c r="G82" s="188">
        <f>F82-F81</f>
        <v>2910</v>
      </c>
      <c r="H82" s="183"/>
      <c r="I82" s="183"/>
      <c r="J82" s="183"/>
      <c r="K82" s="183"/>
    </row>
    <row r="83" spans="1:11" x14ac:dyDescent="0.25">
      <c r="A83" s="187">
        <v>79</v>
      </c>
      <c r="B83" s="187"/>
      <c r="C83" s="187" t="s">
        <v>403</v>
      </c>
      <c r="D83" s="186" t="s">
        <v>427</v>
      </c>
      <c r="E83" s="185" t="s">
        <v>412</v>
      </c>
      <c r="F83" s="184">
        <v>22300</v>
      </c>
      <c r="G83" s="188"/>
      <c r="H83" s="183"/>
      <c r="I83" s="188">
        <f>F83-F69</f>
        <v>18100</v>
      </c>
      <c r="J83" s="183"/>
      <c r="K83" s="183"/>
    </row>
    <row r="84" spans="1:11" x14ac:dyDescent="0.25">
      <c r="A84" s="187">
        <v>80</v>
      </c>
      <c r="B84" s="187">
        <v>4511</v>
      </c>
      <c r="C84" s="187" t="s">
        <v>403</v>
      </c>
      <c r="D84" s="186" t="s">
        <v>428</v>
      </c>
      <c r="E84" s="185" t="s">
        <v>426</v>
      </c>
      <c r="F84" s="184">
        <v>25100</v>
      </c>
      <c r="G84" s="188">
        <f>F84-F82</f>
        <v>2800</v>
      </c>
      <c r="H84" s="183"/>
      <c r="I84" s="183"/>
      <c r="J84" s="183"/>
      <c r="K84" s="183"/>
    </row>
    <row r="85" spans="1:11" x14ac:dyDescent="0.25">
      <c r="A85" s="187">
        <v>81</v>
      </c>
      <c r="B85" s="187">
        <v>4511</v>
      </c>
      <c r="C85" s="187" t="s">
        <v>403</v>
      </c>
      <c r="D85" s="186" t="s">
        <v>427</v>
      </c>
      <c r="E85" s="185" t="s">
        <v>426</v>
      </c>
      <c r="F85" s="184">
        <v>28060</v>
      </c>
      <c r="G85" s="188">
        <f>F85-F84</f>
        <v>2960</v>
      </c>
      <c r="H85" s="183"/>
      <c r="I85" s="183"/>
      <c r="J85" s="183"/>
      <c r="K85" s="183"/>
    </row>
    <row r="86" spans="1:11" x14ac:dyDescent="0.25">
      <c r="A86" s="187">
        <v>82</v>
      </c>
      <c r="B86" s="187">
        <v>4511</v>
      </c>
      <c r="C86" s="187" t="s">
        <v>403</v>
      </c>
      <c r="D86" s="186" t="s">
        <v>428</v>
      </c>
      <c r="E86" s="185" t="s">
        <v>426</v>
      </c>
      <c r="F86" s="184">
        <v>30600</v>
      </c>
      <c r="G86" s="188">
        <f>F86-F85</f>
        <v>2540</v>
      </c>
      <c r="H86" s="183"/>
      <c r="I86" s="183"/>
      <c r="J86" s="183"/>
      <c r="K86" s="183"/>
    </row>
    <row r="87" spans="1:11" x14ac:dyDescent="0.25">
      <c r="A87" s="187">
        <v>83</v>
      </c>
      <c r="B87" s="187">
        <v>4511</v>
      </c>
      <c r="C87" s="187" t="s">
        <v>403</v>
      </c>
      <c r="D87" s="186" t="s">
        <v>427</v>
      </c>
      <c r="E87" s="185" t="s">
        <v>426</v>
      </c>
      <c r="F87" s="184">
        <v>33330</v>
      </c>
      <c r="G87" s="188">
        <f>F87-F86</f>
        <v>2730</v>
      </c>
      <c r="H87" s="183"/>
      <c r="I87" s="183"/>
      <c r="J87" s="183"/>
      <c r="K87" s="183"/>
    </row>
    <row r="88" spans="1:11" x14ac:dyDescent="0.25">
      <c r="A88" s="187">
        <v>84</v>
      </c>
      <c r="B88" s="187"/>
      <c r="C88" s="187" t="s">
        <v>403</v>
      </c>
      <c r="D88" s="186" t="s">
        <v>428</v>
      </c>
      <c r="E88" s="185" t="s">
        <v>412</v>
      </c>
      <c r="F88" s="184">
        <v>34200</v>
      </c>
      <c r="G88" s="188"/>
      <c r="H88" s="188">
        <f>F88-F77</f>
        <v>20000</v>
      </c>
      <c r="I88" s="183"/>
      <c r="J88" s="183"/>
      <c r="K88" s="183"/>
    </row>
    <row r="89" spans="1:11" x14ac:dyDescent="0.25">
      <c r="A89" s="187">
        <v>85</v>
      </c>
      <c r="B89" s="187">
        <v>4511</v>
      </c>
      <c r="C89" s="187" t="s">
        <v>403</v>
      </c>
      <c r="D89" s="186" t="s">
        <v>428</v>
      </c>
      <c r="E89" s="185" t="s">
        <v>426</v>
      </c>
      <c r="F89" s="184">
        <v>36250</v>
      </c>
      <c r="G89" s="188">
        <f>F89-F87</f>
        <v>2920</v>
      </c>
      <c r="H89" s="183"/>
      <c r="I89" s="183"/>
      <c r="J89" s="183"/>
      <c r="K89" s="183"/>
    </row>
    <row r="90" spans="1:11" x14ac:dyDescent="0.25">
      <c r="A90" s="187">
        <v>86</v>
      </c>
      <c r="B90" s="187">
        <v>4511</v>
      </c>
      <c r="C90" s="187" t="s">
        <v>403</v>
      </c>
      <c r="D90" s="186" t="s">
        <v>427</v>
      </c>
      <c r="E90" s="185" t="s">
        <v>436</v>
      </c>
      <c r="F90" s="184">
        <v>37400</v>
      </c>
      <c r="G90" s="183"/>
      <c r="H90" s="183"/>
      <c r="I90" s="183"/>
      <c r="J90" s="183"/>
      <c r="K90" s="183"/>
    </row>
    <row r="91" spans="1:11" x14ac:dyDescent="0.25">
      <c r="A91" s="187">
        <v>87</v>
      </c>
      <c r="B91" s="187">
        <v>4511</v>
      </c>
      <c r="C91" s="187" t="s">
        <v>403</v>
      </c>
      <c r="D91" s="186" t="s">
        <v>427</v>
      </c>
      <c r="E91" s="185" t="s">
        <v>426</v>
      </c>
      <c r="F91" s="184">
        <v>39100</v>
      </c>
      <c r="G91" s="188">
        <f>F91-F89</f>
        <v>2850</v>
      </c>
      <c r="H91" s="183"/>
      <c r="I91" s="183"/>
      <c r="J91" s="183"/>
      <c r="K91" s="183"/>
    </row>
    <row r="92" spans="1:11" x14ac:dyDescent="0.25">
      <c r="A92" s="187">
        <v>88</v>
      </c>
      <c r="B92" s="187">
        <v>4511</v>
      </c>
      <c r="C92" s="187">
        <v>5.0999999999999996</v>
      </c>
      <c r="D92" s="186" t="s">
        <v>430</v>
      </c>
      <c r="E92" s="185" t="s">
        <v>413</v>
      </c>
      <c r="F92" s="184">
        <v>41150</v>
      </c>
      <c r="G92" s="183"/>
      <c r="H92" s="183"/>
      <c r="I92" s="183"/>
      <c r="J92" s="183"/>
      <c r="K92" s="183"/>
    </row>
    <row r="93" spans="1:11" x14ac:dyDescent="0.25">
      <c r="A93" s="187">
        <v>89</v>
      </c>
      <c r="B93" s="187">
        <v>4511</v>
      </c>
      <c r="C93" s="187" t="s">
        <v>403</v>
      </c>
      <c r="D93" s="186" t="s">
        <v>430</v>
      </c>
      <c r="E93" s="185" t="s">
        <v>413</v>
      </c>
      <c r="F93" s="184">
        <v>41800</v>
      </c>
      <c r="G93" s="183"/>
      <c r="H93" s="183"/>
      <c r="I93" s="183"/>
      <c r="J93" s="183"/>
      <c r="K93" s="183"/>
    </row>
    <row r="94" spans="1:11" x14ac:dyDescent="0.25">
      <c r="A94" s="187">
        <v>90</v>
      </c>
      <c r="B94" s="187">
        <v>4511</v>
      </c>
      <c r="C94" s="187">
        <v>2</v>
      </c>
      <c r="D94" s="186" t="s">
        <v>428</v>
      </c>
      <c r="E94" s="185" t="s">
        <v>426</v>
      </c>
      <c r="F94" s="184">
        <v>41940</v>
      </c>
      <c r="G94" s="188">
        <f>F94-F91</f>
        <v>2840</v>
      </c>
      <c r="H94" s="183"/>
      <c r="I94" s="183"/>
      <c r="J94" s="183"/>
      <c r="K94" s="183"/>
    </row>
    <row r="95" spans="1:11" x14ac:dyDescent="0.25">
      <c r="A95" s="187">
        <v>91</v>
      </c>
      <c r="B95" s="187">
        <v>4511</v>
      </c>
      <c r="C95" s="187">
        <v>5.0999999999999996</v>
      </c>
      <c r="D95" s="186" t="s">
        <v>427</v>
      </c>
      <c r="E95" s="185" t="s">
        <v>412</v>
      </c>
      <c r="F95" s="184">
        <v>42300</v>
      </c>
      <c r="G95" s="183"/>
      <c r="H95" s="188"/>
      <c r="I95" s="188">
        <f>F95-F83</f>
        <v>20000</v>
      </c>
      <c r="J95" s="183"/>
      <c r="K95" s="183"/>
    </row>
    <row r="96" spans="1:11" x14ac:dyDescent="0.25">
      <c r="A96" s="187">
        <v>92</v>
      </c>
      <c r="B96" s="187">
        <v>4511</v>
      </c>
      <c r="C96" s="187">
        <v>5.0999999999999996</v>
      </c>
      <c r="D96" s="186" t="s">
        <v>427</v>
      </c>
      <c r="E96" s="185" t="s">
        <v>426</v>
      </c>
      <c r="F96" s="184">
        <v>44550</v>
      </c>
      <c r="G96" s="188">
        <f>F96-F94</f>
        <v>2610</v>
      </c>
      <c r="H96" s="183"/>
      <c r="I96" s="183"/>
      <c r="J96" s="183"/>
      <c r="K96" s="183"/>
    </row>
    <row r="97" spans="1:11" x14ac:dyDescent="0.25">
      <c r="A97" s="187">
        <v>93</v>
      </c>
      <c r="B97" s="187">
        <v>4511</v>
      </c>
      <c r="C97" s="187">
        <v>2</v>
      </c>
      <c r="D97" s="186" t="s">
        <v>428</v>
      </c>
      <c r="E97" s="185" t="s">
        <v>436</v>
      </c>
      <c r="F97" s="184">
        <v>46900</v>
      </c>
      <c r="G97" s="183"/>
      <c r="H97" s="183"/>
      <c r="I97" s="183"/>
      <c r="J97" s="188">
        <v>46143</v>
      </c>
      <c r="K97" s="183" t="s">
        <v>433</v>
      </c>
    </row>
    <row r="98" spans="1:11" x14ac:dyDescent="0.25">
      <c r="A98" s="187">
        <v>94</v>
      </c>
      <c r="B98" s="187">
        <v>4511</v>
      </c>
      <c r="C98" s="187">
        <v>2</v>
      </c>
      <c r="D98" s="186" t="s">
        <v>428</v>
      </c>
      <c r="E98" s="185" t="s">
        <v>426</v>
      </c>
      <c r="F98" s="184">
        <v>47510</v>
      </c>
      <c r="G98" s="188">
        <f>F98-F96</f>
        <v>2960</v>
      </c>
      <c r="H98" s="183"/>
      <c r="I98" s="183"/>
      <c r="J98" s="183"/>
      <c r="K98" s="183"/>
    </row>
    <row r="99" spans="1:11" x14ac:dyDescent="0.25">
      <c r="A99" s="187">
        <v>95</v>
      </c>
      <c r="B99" s="187">
        <v>4511</v>
      </c>
      <c r="C99" s="187">
        <v>5.0999999999999996</v>
      </c>
      <c r="D99" s="186" t="s">
        <v>427</v>
      </c>
      <c r="E99" s="185" t="s">
        <v>426</v>
      </c>
      <c r="F99" s="184">
        <v>50470</v>
      </c>
      <c r="G99" s="188">
        <f>F99-F98</f>
        <v>2960</v>
      </c>
      <c r="H99" s="183"/>
      <c r="I99" s="183"/>
      <c r="J99" s="183"/>
      <c r="K99" s="183"/>
    </row>
    <row r="100" spans="1:11" x14ac:dyDescent="0.25">
      <c r="A100" s="187">
        <v>96</v>
      </c>
      <c r="B100" s="187">
        <v>4511</v>
      </c>
      <c r="C100" s="187">
        <v>3</v>
      </c>
      <c r="D100" s="186" t="s">
        <v>428</v>
      </c>
      <c r="E100" s="185" t="s">
        <v>426</v>
      </c>
      <c r="F100" s="184">
        <v>53320</v>
      </c>
      <c r="G100" s="188">
        <f>F100-F99</f>
        <v>2850</v>
      </c>
      <c r="H100" s="183"/>
      <c r="I100" s="183"/>
      <c r="J100" s="183"/>
      <c r="K100" s="183"/>
    </row>
    <row r="101" spans="1:11" x14ac:dyDescent="0.25">
      <c r="A101" s="187">
        <v>97</v>
      </c>
      <c r="B101" s="187">
        <v>4511</v>
      </c>
      <c r="C101" s="187">
        <v>3</v>
      </c>
      <c r="D101" s="186" t="s">
        <v>428</v>
      </c>
      <c r="E101" s="185" t="s">
        <v>412</v>
      </c>
      <c r="F101" s="184">
        <v>54200</v>
      </c>
      <c r="G101" s="183"/>
      <c r="H101" s="188">
        <f>F101-F88</f>
        <v>20000</v>
      </c>
      <c r="I101" s="183"/>
      <c r="J101" s="183"/>
      <c r="K101" s="183"/>
    </row>
    <row r="102" spans="1:11" x14ac:dyDescent="0.25">
      <c r="A102" s="187">
        <v>98</v>
      </c>
      <c r="B102" s="187">
        <v>4511</v>
      </c>
      <c r="C102" s="187">
        <v>5.0999999999999996</v>
      </c>
      <c r="D102" s="186" t="s">
        <v>427</v>
      </c>
      <c r="E102" s="185" t="s">
        <v>426</v>
      </c>
      <c r="F102" s="184">
        <v>55905</v>
      </c>
      <c r="G102" s="188">
        <f>F102-F100</f>
        <v>2585</v>
      </c>
      <c r="H102" s="183"/>
      <c r="I102" s="183"/>
      <c r="J102" s="183"/>
      <c r="K102" s="183"/>
    </row>
    <row r="103" spans="1:11" x14ac:dyDescent="0.25">
      <c r="A103" s="187">
        <v>99</v>
      </c>
      <c r="B103" s="187">
        <v>4511</v>
      </c>
      <c r="C103" s="187">
        <v>3</v>
      </c>
      <c r="D103" s="186" t="s">
        <v>428</v>
      </c>
      <c r="E103" s="185" t="s">
        <v>426</v>
      </c>
      <c r="F103" s="184">
        <v>58970</v>
      </c>
      <c r="G103" s="188">
        <f>F103-F102</f>
        <v>3065</v>
      </c>
      <c r="H103" s="183"/>
      <c r="I103" s="183"/>
      <c r="J103" s="183"/>
      <c r="K103" s="183"/>
    </row>
    <row r="104" spans="1:11" x14ac:dyDescent="0.25">
      <c r="A104" s="187">
        <v>100</v>
      </c>
      <c r="B104" s="187">
        <v>4511</v>
      </c>
      <c r="C104" s="187">
        <v>5.0999999999999996</v>
      </c>
      <c r="D104" s="186" t="s">
        <v>427</v>
      </c>
      <c r="E104" s="185" t="s">
        <v>412</v>
      </c>
      <c r="F104" s="184">
        <v>60480</v>
      </c>
      <c r="G104" s="183"/>
      <c r="H104" s="183"/>
      <c r="I104" s="188">
        <f>F104-F95</f>
        <v>18180</v>
      </c>
      <c r="J104" s="183"/>
      <c r="K104" s="183"/>
    </row>
    <row r="105" spans="1:11" x14ac:dyDescent="0.25">
      <c r="A105" s="187">
        <v>101</v>
      </c>
      <c r="B105" s="187">
        <v>4511</v>
      </c>
      <c r="C105" s="187">
        <v>5.0999999999999996</v>
      </c>
      <c r="D105" s="186" t="s">
        <v>430</v>
      </c>
      <c r="E105" s="185" t="s">
        <v>413</v>
      </c>
      <c r="F105" s="184">
        <v>60480</v>
      </c>
      <c r="G105" s="183"/>
      <c r="H105" s="183"/>
      <c r="I105" s="183"/>
      <c r="J105" s="183"/>
      <c r="K105" s="183"/>
    </row>
    <row r="106" spans="1:11" x14ac:dyDescent="0.25">
      <c r="A106" s="187">
        <v>102</v>
      </c>
      <c r="B106" s="187">
        <v>4511</v>
      </c>
      <c r="C106" s="187">
        <v>5.0999999999999996</v>
      </c>
      <c r="D106" s="186" t="s">
        <v>428</v>
      </c>
      <c r="E106" s="185" t="s">
        <v>413</v>
      </c>
      <c r="F106" s="184">
        <v>61675</v>
      </c>
      <c r="G106" s="183"/>
      <c r="H106" s="188"/>
      <c r="I106" s="183"/>
      <c r="J106" s="188">
        <v>61346</v>
      </c>
      <c r="K106" s="183" t="s">
        <v>433</v>
      </c>
    </row>
    <row r="107" spans="1:11" x14ac:dyDescent="0.25">
      <c r="A107" s="187">
        <v>103</v>
      </c>
      <c r="B107" s="187">
        <v>4511</v>
      </c>
      <c r="C107" s="187">
        <v>5.0999999999999996</v>
      </c>
      <c r="D107" s="186" t="s">
        <v>427</v>
      </c>
      <c r="E107" s="185" t="s">
        <v>426</v>
      </c>
      <c r="F107" s="184">
        <v>61900</v>
      </c>
      <c r="G107" s="188">
        <f>F107-F103</f>
        <v>2930</v>
      </c>
      <c r="H107" s="183"/>
      <c r="I107" s="183"/>
      <c r="J107" s="183"/>
      <c r="K107" s="183"/>
    </row>
    <row r="108" spans="1:11" x14ac:dyDescent="0.25">
      <c r="A108" s="187">
        <v>104</v>
      </c>
      <c r="B108" s="187">
        <v>4511</v>
      </c>
      <c r="C108" s="187">
        <v>5.0999999999999996</v>
      </c>
      <c r="D108" s="186" t="s">
        <v>430</v>
      </c>
      <c r="E108" s="185" t="s">
        <v>413</v>
      </c>
      <c r="F108" s="184">
        <v>63250</v>
      </c>
      <c r="G108" s="188"/>
      <c r="H108" s="183"/>
      <c r="I108" s="183"/>
      <c r="J108" s="183"/>
      <c r="K108" s="183"/>
    </row>
    <row r="109" spans="1:11" x14ac:dyDescent="0.25">
      <c r="A109" s="187">
        <v>105</v>
      </c>
      <c r="B109" s="187">
        <v>4511</v>
      </c>
      <c r="C109" s="187">
        <v>3</v>
      </c>
      <c r="D109" s="186" t="s">
        <v>428</v>
      </c>
      <c r="E109" s="185" t="s">
        <v>426</v>
      </c>
      <c r="F109" s="184">
        <v>64510</v>
      </c>
      <c r="G109" s="188">
        <f>F109-F107</f>
        <v>2610</v>
      </c>
      <c r="H109" s="183"/>
      <c r="I109" s="183"/>
      <c r="J109" s="183"/>
      <c r="K109" s="183"/>
    </row>
    <row r="110" spans="1:11" x14ac:dyDescent="0.25">
      <c r="A110" s="187">
        <v>106</v>
      </c>
      <c r="B110" s="187">
        <v>4511</v>
      </c>
      <c r="C110" s="187">
        <v>5.0999999999999996</v>
      </c>
      <c r="D110" s="186" t="s">
        <v>427</v>
      </c>
      <c r="E110" s="185" t="s">
        <v>436</v>
      </c>
      <c r="F110" s="184">
        <v>65900</v>
      </c>
      <c r="G110" s="183"/>
      <c r="H110" s="183"/>
      <c r="I110" s="183"/>
      <c r="J110" s="183"/>
      <c r="K110" s="183"/>
    </row>
    <row r="111" spans="1:11" x14ac:dyDescent="0.25">
      <c r="A111" s="187">
        <v>107</v>
      </c>
      <c r="B111" s="187">
        <v>4511</v>
      </c>
      <c r="C111" s="187">
        <v>5.0999999999999996</v>
      </c>
      <c r="D111" s="186" t="s">
        <v>427</v>
      </c>
      <c r="E111" s="185" t="s">
        <v>426</v>
      </c>
      <c r="F111" s="184">
        <v>67000</v>
      </c>
      <c r="G111" s="188">
        <f>F111-F109</f>
        <v>2490</v>
      </c>
      <c r="H111" s="183"/>
      <c r="I111" s="183"/>
      <c r="J111" s="183"/>
      <c r="K111" s="183"/>
    </row>
    <row r="112" spans="1:11" x14ac:dyDescent="0.25">
      <c r="A112" s="187">
        <v>108</v>
      </c>
      <c r="B112" s="187">
        <v>4511</v>
      </c>
      <c r="C112" s="187">
        <v>4</v>
      </c>
      <c r="D112" s="186" t="s">
        <v>428</v>
      </c>
      <c r="E112" s="185" t="s">
        <v>436</v>
      </c>
      <c r="F112" s="184">
        <v>69300</v>
      </c>
      <c r="G112" s="183"/>
      <c r="H112" s="183"/>
      <c r="I112" s="183"/>
      <c r="J112" s="188">
        <v>68228</v>
      </c>
      <c r="K112" s="183" t="s">
        <v>433</v>
      </c>
    </row>
    <row r="113" spans="1:11" x14ac:dyDescent="0.25">
      <c r="A113" s="187">
        <v>109</v>
      </c>
      <c r="B113" s="187">
        <v>4511</v>
      </c>
      <c r="C113" s="187">
        <v>4</v>
      </c>
      <c r="D113" s="186" t="s">
        <v>428</v>
      </c>
      <c r="E113" s="185" t="s">
        <v>426</v>
      </c>
      <c r="F113" s="184">
        <v>69955</v>
      </c>
      <c r="G113" s="188">
        <f>F113-F111</f>
        <v>2955</v>
      </c>
      <c r="H113" s="183"/>
      <c r="I113" s="183"/>
      <c r="J113" s="183"/>
      <c r="K113" s="183"/>
    </row>
    <row r="114" spans="1:11" x14ac:dyDescent="0.25">
      <c r="A114" s="187">
        <v>110</v>
      </c>
      <c r="B114" s="187">
        <v>4511</v>
      </c>
      <c r="C114" s="187">
        <v>5.0999999999999996</v>
      </c>
      <c r="D114" s="186" t="s">
        <v>427</v>
      </c>
      <c r="E114" s="185" t="s">
        <v>414</v>
      </c>
      <c r="F114" s="184">
        <v>72890</v>
      </c>
      <c r="G114" s="183"/>
      <c r="H114" s="183"/>
      <c r="I114" s="183"/>
      <c r="J114" s="183"/>
      <c r="K114" s="183"/>
    </row>
    <row r="115" spans="1:11" x14ac:dyDescent="0.25">
      <c r="A115" s="187">
        <v>111</v>
      </c>
      <c r="B115" s="187">
        <v>4511</v>
      </c>
      <c r="C115" s="187">
        <v>5.0999999999999996</v>
      </c>
      <c r="D115" s="186" t="s">
        <v>427</v>
      </c>
      <c r="E115" s="185" t="s">
        <v>426</v>
      </c>
      <c r="F115" s="184">
        <v>72890</v>
      </c>
      <c r="G115" s="188">
        <f>F115-F113</f>
        <v>2935</v>
      </c>
      <c r="H115" s="183"/>
      <c r="I115" s="183"/>
      <c r="J115" s="183"/>
      <c r="K115" s="183"/>
    </row>
    <row r="116" spans="1:11" x14ac:dyDescent="0.25">
      <c r="A116" s="187">
        <v>112</v>
      </c>
      <c r="B116" s="187">
        <v>4511</v>
      </c>
      <c r="C116" s="187">
        <v>4</v>
      </c>
      <c r="D116" s="186" t="s">
        <v>428</v>
      </c>
      <c r="E116" s="185" t="s">
        <v>412</v>
      </c>
      <c r="F116" s="184">
        <v>74200</v>
      </c>
      <c r="G116" s="183"/>
      <c r="H116" s="188">
        <f>F116-F101</f>
        <v>20000</v>
      </c>
      <c r="I116" s="183"/>
      <c r="J116" s="188">
        <v>73969</v>
      </c>
      <c r="K116" s="183" t="s">
        <v>433</v>
      </c>
    </row>
    <row r="117" spans="1:11" x14ac:dyDescent="0.25">
      <c r="A117" s="187">
        <v>113</v>
      </c>
      <c r="B117" s="187">
        <v>4511</v>
      </c>
      <c r="C117" s="187">
        <v>6</v>
      </c>
      <c r="D117" s="186" t="s">
        <v>428</v>
      </c>
      <c r="E117" s="185" t="s">
        <v>426</v>
      </c>
      <c r="F117" s="184">
        <v>76200</v>
      </c>
      <c r="G117" s="188">
        <f>F117-F115</f>
        <v>3310</v>
      </c>
      <c r="H117" s="183"/>
      <c r="I117" s="183"/>
      <c r="J117" s="183"/>
      <c r="K117" s="183"/>
    </row>
    <row r="118" spans="1:11" x14ac:dyDescent="0.25">
      <c r="A118" s="187">
        <v>114</v>
      </c>
      <c r="B118" s="187">
        <v>4511</v>
      </c>
      <c r="C118" s="187">
        <v>11</v>
      </c>
      <c r="D118" s="186" t="s">
        <v>427</v>
      </c>
      <c r="E118" s="185" t="s">
        <v>412</v>
      </c>
      <c r="F118" s="184">
        <v>77350</v>
      </c>
      <c r="G118" s="183"/>
      <c r="H118" s="183"/>
      <c r="I118" s="188">
        <f>F118-F104</f>
        <v>16870</v>
      </c>
      <c r="J118" s="183"/>
      <c r="K118" s="183"/>
    </row>
    <row r="119" spans="1:11" x14ac:dyDescent="0.25">
      <c r="A119" s="187">
        <v>115</v>
      </c>
      <c r="B119" s="187">
        <v>4511</v>
      </c>
      <c r="C119" s="187">
        <v>11</v>
      </c>
      <c r="D119" s="186" t="s">
        <v>427</v>
      </c>
      <c r="E119" s="185" t="s">
        <v>426</v>
      </c>
      <c r="F119" s="184">
        <v>79290</v>
      </c>
      <c r="G119" s="188">
        <f>F119-F117</f>
        <v>3090</v>
      </c>
      <c r="H119" s="183"/>
      <c r="I119" s="183"/>
      <c r="J119" s="183"/>
      <c r="K119" s="183"/>
    </row>
    <row r="120" spans="1:11" x14ac:dyDescent="0.25">
      <c r="A120" s="187">
        <v>116</v>
      </c>
      <c r="B120" s="187">
        <v>4511</v>
      </c>
      <c r="C120" s="187">
        <v>6</v>
      </c>
      <c r="D120" s="186" t="s">
        <v>428</v>
      </c>
      <c r="E120" s="185" t="s">
        <v>413</v>
      </c>
      <c r="F120" s="184">
        <v>81650</v>
      </c>
      <c r="G120" s="183"/>
      <c r="H120" s="183"/>
      <c r="I120" s="183"/>
      <c r="J120" s="183"/>
      <c r="K120" s="183"/>
    </row>
    <row r="121" spans="1:11" x14ac:dyDescent="0.25">
      <c r="A121" s="187">
        <v>117</v>
      </c>
      <c r="B121" s="187">
        <v>4511</v>
      </c>
      <c r="C121" s="187">
        <v>6</v>
      </c>
      <c r="D121" s="186" t="s">
        <v>430</v>
      </c>
      <c r="E121" s="185" t="s">
        <v>415</v>
      </c>
      <c r="F121" s="184">
        <v>81800</v>
      </c>
      <c r="G121" s="183"/>
      <c r="H121" s="183"/>
      <c r="I121" s="183"/>
      <c r="J121" s="188">
        <v>81800</v>
      </c>
      <c r="K121" s="183" t="s">
        <v>439</v>
      </c>
    </row>
    <row r="122" spans="1:11" x14ac:dyDescent="0.25">
      <c r="A122" s="187">
        <v>118</v>
      </c>
      <c r="B122" s="187">
        <v>4511</v>
      </c>
      <c r="C122" s="187">
        <v>6</v>
      </c>
      <c r="D122" s="186" t="s">
        <v>428</v>
      </c>
      <c r="E122" s="185" t="s">
        <v>413</v>
      </c>
      <c r="F122" s="184">
        <v>81900</v>
      </c>
      <c r="G122" s="183"/>
      <c r="H122" s="183"/>
      <c r="I122" s="188"/>
      <c r="J122" s="183"/>
      <c r="K122" s="183"/>
    </row>
    <row r="123" spans="1:11" x14ac:dyDescent="0.25">
      <c r="A123" s="187">
        <v>119</v>
      </c>
      <c r="B123" s="187">
        <v>4511</v>
      </c>
      <c r="C123" s="187">
        <v>6</v>
      </c>
      <c r="D123" s="186" t="s">
        <v>428</v>
      </c>
      <c r="E123" s="185" t="s">
        <v>414</v>
      </c>
      <c r="F123" s="184">
        <v>82800</v>
      </c>
      <c r="G123" s="183"/>
      <c r="H123" s="183"/>
      <c r="I123" s="183"/>
      <c r="J123" s="183"/>
      <c r="K123" s="183"/>
    </row>
    <row r="124" spans="1:11" x14ac:dyDescent="0.25">
      <c r="A124" s="187">
        <v>120</v>
      </c>
      <c r="B124" s="187">
        <v>4511</v>
      </c>
      <c r="C124" s="187">
        <v>11</v>
      </c>
      <c r="D124" s="191" t="s">
        <v>427</v>
      </c>
      <c r="E124" s="185" t="s">
        <v>426</v>
      </c>
      <c r="F124" s="184">
        <v>84805</v>
      </c>
      <c r="G124" s="188">
        <f>F124-F119</f>
        <v>5515</v>
      </c>
      <c r="H124" s="183"/>
      <c r="I124" s="183"/>
      <c r="J124" s="183"/>
      <c r="K124" s="183"/>
    </row>
    <row r="125" spans="1:11" x14ac:dyDescent="0.25">
      <c r="A125" s="187">
        <v>121</v>
      </c>
      <c r="B125" s="187">
        <v>4511</v>
      </c>
      <c r="C125" s="187">
        <v>7</v>
      </c>
      <c r="D125" s="186" t="s">
        <v>428</v>
      </c>
      <c r="E125" s="185" t="s">
        <v>412</v>
      </c>
      <c r="F125" s="184">
        <v>86800</v>
      </c>
      <c r="G125" s="183"/>
      <c r="H125" s="188">
        <f>F125-F116</f>
        <v>12600</v>
      </c>
      <c r="I125" s="183"/>
      <c r="J125" s="183"/>
      <c r="K125" s="183"/>
    </row>
    <row r="126" spans="1:11" x14ac:dyDescent="0.25">
      <c r="A126" s="187">
        <v>122</v>
      </c>
      <c r="B126" s="187">
        <v>4511</v>
      </c>
      <c r="C126" s="187">
        <v>7</v>
      </c>
      <c r="D126" s="186" t="s">
        <v>428</v>
      </c>
      <c r="E126" s="185" t="s">
        <v>426</v>
      </c>
      <c r="F126" s="184">
        <v>87103</v>
      </c>
      <c r="G126" s="188">
        <f>F126-F124</f>
        <v>2298</v>
      </c>
      <c r="H126" s="183"/>
      <c r="I126" s="183"/>
      <c r="J126" s="183"/>
      <c r="K126" s="183"/>
    </row>
    <row r="127" spans="1:11" x14ac:dyDescent="0.25">
      <c r="A127" s="187">
        <v>123</v>
      </c>
      <c r="B127" s="187">
        <v>4511</v>
      </c>
      <c r="C127" s="187">
        <v>11</v>
      </c>
      <c r="D127" s="186" t="s">
        <v>427</v>
      </c>
      <c r="E127" s="185" t="s">
        <v>426</v>
      </c>
      <c r="F127" s="184">
        <v>89840</v>
      </c>
      <c r="G127" s="188">
        <f>F127-F126</f>
        <v>2737</v>
      </c>
      <c r="H127" s="183"/>
      <c r="I127" s="183"/>
      <c r="J127" s="183"/>
      <c r="K127" s="183"/>
    </row>
    <row r="128" spans="1:11" x14ac:dyDescent="0.25">
      <c r="A128" s="187">
        <v>124</v>
      </c>
      <c r="B128" s="187">
        <v>4511</v>
      </c>
      <c r="C128" s="187">
        <v>7</v>
      </c>
      <c r="D128" s="186" t="s">
        <v>428</v>
      </c>
      <c r="E128" s="185" t="s">
        <v>426</v>
      </c>
      <c r="F128" s="184">
        <v>92643</v>
      </c>
      <c r="G128" s="188">
        <f>F128-F127</f>
        <v>2803</v>
      </c>
      <c r="H128" s="183"/>
      <c r="I128" s="183"/>
      <c r="J128" s="183"/>
      <c r="K128" s="183"/>
    </row>
    <row r="129" spans="1:11" x14ac:dyDescent="0.25">
      <c r="A129" s="187">
        <v>125</v>
      </c>
      <c r="B129" s="187">
        <v>4511</v>
      </c>
      <c r="C129" s="187">
        <v>11</v>
      </c>
      <c r="D129" s="186" t="s">
        <v>427</v>
      </c>
      <c r="E129" s="185" t="s">
        <v>426</v>
      </c>
      <c r="F129" s="184">
        <v>95400</v>
      </c>
      <c r="G129" s="188">
        <f>F129-F128</f>
        <v>2757</v>
      </c>
      <c r="H129" s="183"/>
      <c r="I129" s="183"/>
      <c r="J129" s="183"/>
      <c r="K129" s="183"/>
    </row>
    <row r="130" spans="1:11" x14ac:dyDescent="0.25">
      <c r="A130" s="187">
        <v>126</v>
      </c>
      <c r="B130" s="187">
        <v>4511</v>
      </c>
      <c r="C130" s="187">
        <v>7</v>
      </c>
      <c r="D130" s="186" t="s">
        <v>428</v>
      </c>
      <c r="E130" s="185" t="s">
        <v>436</v>
      </c>
      <c r="F130" s="184">
        <v>95800</v>
      </c>
      <c r="G130" s="183"/>
      <c r="H130" s="183"/>
      <c r="I130" s="183"/>
      <c r="J130" s="183"/>
      <c r="K130" s="183"/>
    </row>
    <row r="131" spans="1:11" x14ac:dyDescent="0.25">
      <c r="A131" s="187">
        <v>127</v>
      </c>
      <c r="B131" s="187">
        <v>4511</v>
      </c>
      <c r="C131" s="187">
        <v>11</v>
      </c>
      <c r="D131" s="186" t="s">
        <v>427</v>
      </c>
      <c r="E131" s="185" t="s">
        <v>412</v>
      </c>
      <c r="F131" s="184">
        <v>97200</v>
      </c>
      <c r="G131" s="183"/>
      <c r="H131" s="183"/>
      <c r="I131" s="188">
        <f>F131-F118</f>
        <v>19850</v>
      </c>
      <c r="J131" s="188">
        <v>97361</v>
      </c>
      <c r="K131" s="183" t="s">
        <v>433</v>
      </c>
    </row>
    <row r="132" spans="1:11" x14ac:dyDescent="0.25">
      <c r="A132" s="187">
        <v>128</v>
      </c>
      <c r="B132" s="187">
        <v>4511</v>
      </c>
      <c r="C132" s="187">
        <v>8</v>
      </c>
      <c r="D132" s="186" t="s">
        <v>428</v>
      </c>
      <c r="E132" s="185" t="s">
        <v>426</v>
      </c>
      <c r="F132" s="184">
        <v>97950</v>
      </c>
      <c r="G132" s="188">
        <f>F132-F129</f>
        <v>2550</v>
      </c>
      <c r="H132" s="183"/>
      <c r="I132" s="183"/>
      <c r="J132" s="183"/>
      <c r="K132" s="183"/>
    </row>
    <row r="133" spans="1:11" x14ac:dyDescent="0.25">
      <c r="A133" s="187">
        <v>129</v>
      </c>
      <c r="B133" s="187">
        <v>4511</v>
      </c>
      <c r="C133" s="187">
        <v>11</v>
      </c>
      <c r="D133" s="186" t="s">
        <v>427</v>
      </c>
      <c r="E133" s="185" t="s">
        <v>426</v>
      </c>
      <c r="F133" s="184">
        <v>100600</v>
      </c>
      <c r="G133" s="188">
        <f>F133-F132</f>
        <v>2650</v>
      </c>
      <c r="H133" s="183"/>
      <c r="I133" s="183"/>
      <c r="J133" s="183"/>
      <c r="K133" s="183"/>
    </row>
    <row r="134" spans="1:11" x14ac:dyDescent="0.25">
      <c r="A134" s="187">
        <v>130</v>
      </c>
      <c r="B134" s="187">
        <v>4511</v>
      </c>
      <c r="C134" s="187">
        <v>11</v>
      </c>
      <c r="D134" s="186" t="s">
        <v>427</v>
      </c>
      <c r="E134" s="185" t="s">
        <v>436</v>
      </c>
      <c r="F134" s="184">
        <v>102200</v>
      </c>
      <c r="G134" s="183"/>
      <c r="H134" s="183"/>
      <c r="I134" s="188"/>
      <c r="J134" s="183"/>
      <c r="K134" s="183"/>
    </row>
    <row r="135" spans="1:11" x14ac:dyDescent="0.25">
      <c r="A135" s="187">
        <v>131</v>
      </c>
      <c r="B135" s="187">
        <v>4511</v>
      </c>
      <c r="C135" s="187">
        <v>11</v>
      </c>
      <c r="D135" s="186" t="s">
        <v>428</v>
      </c>
      <c r="E135" s="185" t="s">
        <v>426</v>
      </c>
      <c r="F135" s="184">
        <v>103300</v>
      </c>
      <c r="G135" s="188">
        <f>F135-F133</f>
        <v>2700</v>
      </c>
      <c r="H135" s="183"/>
      <c r="I135" s="183"/>
      <c r="J135" s="188">
        <v>103000</v>
      </c>
      <c r="K135" s="183" t="s">
        <v>433</v>
      </c>
    </row>
    <row r="136" spans="1:11" x14ac:dyDescent="0.25">
      <c r="A136" s="187">
        <v>132</v>
      </c>
      <c r="B136" s="187">
        <v>4511</v>
      </c>
      <c r="C136" s="187">
        <v>11</v>
      </c>
      <c r="D136" s="186" t="s">
        <v>427</v>
      </c>
      <c r="E136" s="185" t="s">
        <v>426</v>
      </c>
      <c r="F136" s="184">
        <v>106145</v>
      </c>
      <c r="G136" s="188">
        <f>F136-F135</f>
        <v>2845</v>
      </c>
      <c r="H136" s="183"/>
      <c r="I136" s="183"/>
      <c r="J136" s="183"/>
      <c r="K136" s="183"/>
    </row>
    <row r="137" spans="1:11" x14ac:dyDescent="0.25">
      <c r="A137" s="187">
        <v>133</v>
      </c>
      <c r="B137" s="187">
        <v>4511</v>
      </c>
      <c r="C137" s="187">
        <v>8</v>
      </c>
      <c r="D137" s="186" t="s">
        <v>428</v>
      </c>
      <c r="E137" s="185" t="s">
        <v>412</v>
      </c>
      <c r="F137" s="184">
        <v>106580</v>
      </c>
      <c r="G137" s="183"/>
      <c r="H137" s="188">
        <f>F137-F125</f>
        <v>19780</v>
      </c>
      <c r="I137" s="183"/>
      <c r="J137" s="183"/>
      <c r="K137" s="183"/>
    </row>
    <row r="138" spans="1:11" x14ac:dyDescent="0.25">
      <c r="A138" s="187">
        <v>134</v>
      </c>
      <c r="B138" s="187">
        <v>4511</v>
      </c>
      <c r="C138" s="187">
        <v>9</v>
      </c>
      <c r="D138" s="186" t="s">
        <v>428</v>
      </c>
      <c r="E138" s="185" t="s">
        <v>426</v>
      </c>
      <c r="F138" s="184">
        <v>109100</v>
      </c>
      <c r="G138" s="188">
        <f>F138-F136</f>
        <v>2955</v>
      </c>
      <c r="H138" s="183"/>
      <c r="I138" s="183"/>
      <c r="J138" s="188">
        <v>108411</v>
      </c>
      <c r="K138" s="183" t="s">
        <v>433</v>
      </c>
    </row>
    <row r="139" spans="1:11" x14ac:dyDescent="0.25">
      <c r="A139" s="187">
        <v>135</v>
      </c>
      <c r="B139" s="187">
        <v>4511</v>
      </c>
      <c r="C139" s="187">
        <v>11</v>
      </c>
      <c r="D139" s="186" t="s">
        <v>427</v>
      </c>
      <c r="E139" s="185" t="s">
        <v>426</v>
      </c>
      <c r="F139" s="184">
        <v>111930</v>
      </c>
      <c r="G139" s="188">
        <f>F139-F138</f>
        <v>2830</v>
      </c>
      <c r="H139" s="183"/>
      <c r="I139" s="183"/>
      <c r="J139" s="183"/>
      <c r="K139" s="183"/>
    </row>
    <row r="140" spans="1:11" x14ac:dyDescent="0.25">
      <c r="A140" s="187">
        <v>136</v>
      </c>
      <c r="B140" s="187">
        <v>4511</v>
      </c>
      <c r="C140" s="187">
        <v>9</v>
      </c>
      <c r="D140" s="186" t="s">
        <v>430</v>
      </c>
      <c r="E140" s="185" t="s">
        <v>413</v>
      </c>
      <c r="F140" s="184">
        <v>113300</v>
      </c>
      <c r="G140" s="183"/>
      <c r="H140" s="183"/>
      <c r="I140" s="183"/>
      <c r="J140" s="188">
        <v>113450</v>
      </c>
      <c r="K140" s="183" t="s">
        <v>438</v>
      </c>
    </row>
    <row r="141" spans="1:11" x14ac:dyDescent="0.25">
      <c r="A141" s="187">
        <v>137</v>
      </c>
      <c r="B141" s="187">
        <v>4511</v>
      </c>
      <c r="C141" s="187">
        <v>9</v>
      </c>
      <c r="D141" s="186" t="s">
        <v>430</v>
      </c>
      <c r="E141" s="185" t="s">
        <v>413</v>
      </c>
      <c r="F141" s="184">
        <v>115800</v>
      </c>
      <c r="G141" s="183"/>
      <c r="H141" s="183"/>
      <c r="I141" s="183"/>
      <c r="J141" s="188">
        <v>113410</v>
      </c>
      <c r="K141" s="183" t="s">
        <v>433</v>
      </c>
    </row>
    <row r="142" spans="1:11" x14ac:dyDescent="0.25">
      <c r="A142" s="187">
        <v>138</v>
      </c>
      <c r="B142" s="187">
        <v>4511</v>
      </c>
      <c r="C142" s="187">
        <v>9</v>
      </c>
      <c r="D142" s="191" t="s">
        <v>427</v>
      </c>
      <c r="E142" s="185" t="s">
        <v>426</v>
      </c>
      <c r="F142" s="184">
        <v>116200</v>
      </c>
      <c r="G142" s="188">
        <f>F142-F139</f>
        <v>4270</v>
      </c>
      <c r="H142" s="183"/>
      <c r="I142" s="183"/>
      <c r="J142" s="183"/>
      <c r="K142" s="183"/>
    </row>
    <row r="143" spans="1:11" x14ac:dyDescent="0.25">
      <c r="A143" s="187">
        <v>139</v>
      </c>
      <c r="B143" s="187">
        <v>4511</v>
      </c>
      <c r="C143" s="187">
        <v>9</v>
      </c>
      <c r="D143" s="186" t="s">
        <v>430</v>
      </c>
      <c r="E143" s="185" t="s">
        <v>413</v>
      </c>
      <c r="F143" s="184">
        <v>116900</v>
      </c>
      <c r="G143" s="183"/>
      <c r="H143" s="183"/>
      <c r="I143" s="183"/>
      <c r="J143" s="183"/>
      <c r="K143" s="183"/>
    </row>
    <row r="144" spans="1:11" x14ac:dyDescent="0.25">
      <c r="A144" s="187">
        <v>140</v>
      </c>
      <c r="B144" s="187">
        <v>4511</v>
      </c>
      <c r="C144" s="187">
        <v>11</v>
      </c>
      <c r="D144" s="186" t="s">
        <v>427</v>
      </c>
      <c r="E144" s="185" t="s">
        <v>412</v>
      </c>
      <c r="F144" s="184">
        <v>117200</v>
      </c>
      <c r="G144" s="183"/>
      <c r="H144" s="183"/>
      <c r="I144" s="188">
        <f>F144-F131</f>
        <v>20000</v>
      </c>
      <c r="J144" s="183"/>
      <c r="K144" s="183"/>
    </row>
    <row r="145" spans="1:11" x14ac:dyDescent="0.25">
      <c r="A145" s="187">
        <v>141</v>
      </c>
      <c r="B145" s="187">
        <v>4511</v>
      </c>
      <c r="C145" s="187">
        <v>10</v>
      </c>
      <c r="D145" s="186" t="s">
        <v>428</v>
      </c>
      <c r="E145" s="185" t="s">
        <v>426</v>
      </c>
      <c r="F145" s="184">
        <v>119240</v>
      </c>
      <c r="G145" s="188">
        <f>F145-F142</f>
        <v>3040</v>
      </c>
      <c r="H145" s="183"/>
      <c r="I145" s="183"/>
      <c r="J145" s="183"/>
      <c r="K145" s="183"/>
    </row>
    <row r="146" spans="1:11" x14ac:dyDescent="0.25">
      <c r="A146" s="187">
        <v>142</v>
      </c>
      <c r="B146" s="187">
        <v>4511</v>
      </c>
      <c r="C146" s="187">
        <v>11</v>
      </c>
      <c r="D146" s="186" t="s">
        <v>427</v>
      </c>
      <c r="E146" s="185" t="s">
        <v>426</v>
      </c>
      <c r="F146" s="184">
        <v>122185</v>
      </c>
      <c r="G146" s="188">
        <f>F146-F145</f>
        <v>2945</v>
      </c>
      <c r="H146" s="183"/>
      <c r="I146" s="183"/>
      <c r="J146" s="183"/>
      <c r="K146" s="183"/>
    </row>
    <row r="147" spans="1:11" x14ac:dyDescent="0.25">
      <c r="A147" s="187">
        <v>143</v>
      </c>
      <c r="B147" s="187">
        <v>4511</v>
      </c>
      <c r="C147" s="187">
        <v>10</v>
      </c>
      <c r="D147" s="186" t="s">
        <v>428</v>
      </c>
      <c r="E147" s="185" t="s">
        <v>426</v>
      </c>
      <c r="F147" s="184">
        <v>125305</v>
      </c>
      <c r="G147" s="188">
        <f>F147-F146</f>
        <v>3120</v>
      </c>
      <c r="H147" s="183"/>
      <c r="I147" s="183"/>
      <c r="J147" s="183"/>
      <c r="K147" s="183"/>
    </row>
    <row r="148" spans="1:11" x14ac:dyDescent="0.25">
      <c r="A148" s="187">
        <v>144</v>
      </c>
      <c r="B148" s="187">
        <v>4511</v>
      </c>
      <c r="C148" s="187">
        <v>10</v>
      </c>
      <c r="D148" s="186" t="s">
        <v>428</v>
      </c>
      <c r="E148" s="185" t="s">
        <v>412</v>
      </c>
      <c r="F148" s="184">
        <v>126580</v>
      </c>
      <c r="G148" s="183"/>
      <c r="H148" s="188">
        <f>F148-F137</f>
        <v>20000</v>
      </c>
      <c r="I148" s="183"/>
      <c r="J148" s="183"/>
      <c r="K148" s="183"/>
    </row>
    <row r="149" spans="1:11" x14ac:dyDescent="0.25">
      <c r="A149" s="187">
        <v>145</v>
      </c>
      <c r="B149" s="187">
        <v>4511</v>
      </c>
      <c r="C149" s="187">
        <v>11</v>
      </c>
      <c r="D149" s="186" t="s">
        <v>427</v>
      </c>
      <c r="E149" s="185" t="s">
        <v>414</v>
      </c>
      <c r="F149" s="184">
        <v>127250</v>
      </c>
      <c r="G149" s="183"/>
      <c r="H149" s="183"/>
      <c r="I149" s="183"/>
      <c r="J149" s="183"/>
      <c r="K149" s="183"/>
    </row>
    <row r="150" spans="1:11" x14ac:dyDescent="0.25">
      <c r="A150" s="187">
        <v>146</v>
      </c>
      <c r="B150" s="187">
        <v>4511</v>
      </c>
      <c r="C150" s="187">
        <v>11</v>
      </c>
      <c r="D150" s="186" t="s">
        <v>427</v>
      </c>
      <c r="E150" s="185" t="s">
        <v>426</v>
      </c>
      <c r="F150" s="184">
        <v>127490</v>
      </c>
      <c r="G150" s="188">
        <f>F150-F147</f>
        <v>2185</v>
      </c>
      <c r="H150" s="183"/>
      <c r="I150" s="183"/>
      <c r="J150" s="188">
        <v>127850</v>
      </c>
      <c r="K150" s="183" t="s">
        <v>437</v>
      </c>
    </row>
    <row r="151" spans="1:11" x14ac:dyDescent="0.25">
      <c r="A151" s="187">
        <v>147</v>
      </c>
      <c r="B151" s="187">
        <v>4511</v>
      </c>
      <c r="C151" s="187">
        <v>11</v>
      </c>
      <c r="D151" s="186" t="s">
        <v>430</v>
      </c>
      <c r="E151" s="185" t="s">
        <v>413</v>
      </c>
      <c r="F151" s="184">
        <v>128000</v>
      </c>
      <c r="G151" s="183"/>
      <c r="H151" s="183"/>
      <c r="I151" s="183"/>
      <c r="J151" s="183"/>
      <c r="K151" s="183"/>
    </row>
    <row r="152" spans="1:11" x14ac:dyDescent="0.25">
      <c r="A152" s="187">
        <v>148</v>
      </c>
      <c r="B152" s="187">
        <v>4511</v>
      </c>
      <c r="C152" s="187">
        <v>12</v>
      </c>
      <c r="D152" s="186" t="s">
        <v>428</v>
      </c>
      <c r="E152" s="185" t="s">
        <v>426</v>
      </c>
      <c r="F152" s="184">
        <v>129910</v>
      </c>
      <c r="G152" s="188">
        <f>F152-F150</f>
        <v>2420</v>
      </c>
      <c r="H152" s="183"/>
      <c r="I152" s="183"/>
      <c r="J152" s="183"/>
      <c r="K152" s="183"/>
    </row>
    <row r="153" spans="1:11" x14ac:dyDescent="0.25">
      <c r="A153" s="187">
        <v>149</v>
      </c>
      <c r="B153" s="187">
        <v>4511</v>
      </c>
      <c r="C153" s="187">
        <v>11</v>
      </c>
      <c r="D153" s="186" t="s">
        <v>427</v>
      </c>
      <c r="E153" s="185" t="s">
        <v>426</v>
      </c>
      <c r="F153" s="184">
        <v>132832</v>
      </c>
      <c r="G153" s="188">
        <f>F153-F152</f>
        <v>2922</v>
      </c>
      <c r="H153" s="189"/>
      <c r="I153" s="183"/>
      <c r="J153" s="183"/>
      <c r="K153" s="183"/>
    </row>
    <row r="154" spans="1:11" x14ac:dyDescent="0.25">
      <c r="A154" s="187">
        <v>150</v>
      </c>
      <c r="B154" s="187">
        <v>4511</v>
      </c>
      <c r="C154" s="187">
        <v>12</v>
      </c>
      <c r="D154" s="186" t="s">
        <v>428</v>
      </c>
      <c r="E154" s="185" t="s">
        <v>426</v>
      </c>
      <c r="F154" s="184">
        <v>135482</v>
      </c>
      <c r="G154" s="188">
        <f>F154-F153</f>
        <v>2650</v>
      </c>
      <c r="H154" s="189"/>
      <c r="I154" s="183"/>
      <c r="J154" s="183"/>
      <c r="K154" s="183"/>
    </row>
    <row r="155" spans="1:11" x14ac:dyDescent="0.25">
      <c r="A155" s="187">
        <v>151</v>
      </c>
      <c r="B155" s="187">
        <v>4511</v>
      </c>
      <c r="C155" s="187">
        <v>11</v>
      </c>
      <c r="D155" s="186" t="s">
        <v>427</v>
      </c>
      <c r="E155" s="185" t="s">
        <v>412</v>
      </c>
      <c r="F155" s="184">
        <v>136750</v>
      </c>
      <c r="G155" s="183"/>
      <c r="H155" s="189"/>
      <c r="I155" s="188">
        <f>F155-F144</f>
        <v>19550</v>
      </c>
      <c r="J155" s="188">
        <v>135633</v>
      </c>
      <c r="K155" s="183" t="s">
        <v>433</v>
      </c>
    </row>
    <row r="156" spans="1:11" x14ac:dyDescent="0.25">
      <c r="A156" s="187">
        <v>152</v>
      </c>
      <c r="B156" s="187">
        <v>4511</v>
      </c>
      <c r="C156" s="187">
        <v>11</v>
      </c>
      <c r="D156" s="186" t="s">
        <v>427</v>
      </c>
      <c r="E156" s="185" t="s">
        <v>426</v>
      </c>
      <c r="F156" s="184">
        <v>138302</v>
      </c>
      <c r="G156" s="188">
        <f>F156-F154</f>
        <v>2820</v>
      </c>
      <c r="H156" s="189"/>
      <c r="I156" s="183"/>
      <c r="J156" s="183"/>
      <c r="K156" s="183"/>
    </row>
    <row r="157" spans="1:11" x14ac:dyDescent="0.25">
      <c r="A157" s="187">
        <v>153</v>
      </c>
      <c r="B157" s="187">
        <v>4511</v>
      </c>
      <c r="C157" s="187">
        <v>12</v>
      </c>
      <c r="D157" s="186" t="s">
        <v>428</v>
      </c>
      <c r="E157" s="185" t="s">
        <v>426</v>
      </c>
      <c r="F157" s="184">
        <v>141095</v>
      </c>
      <c r="G157" s="188">
        <f>F157-F156</f>
        <v>2793</v>
      </c>
      <c r="H157" s="189"/>
      <c r="I157" s="183"/>
      <c r="J157" s="183"/>
      <c r="K157" s="183"/>
    </row>
    <row r="158" spans="1:11" x14ac:dyDescent="0.25">
      <c r="A158" s="187">
        <v>154</v>
      </c>
      <c r="B158" s="187">
        <v>4511</v>
      </c>
      <c r="C158" s="187">
        <v>12</v>
      </c>
      <c r="D158" s="186" t="s">
        <v>427</v>
      </c>
      <c r="E158" s="185" t="s">
        <v>436</v>
      </c>
      <c r="F158" s="184">
        <v>143900</v>
      </c>
      <c r="G158" s="183"/>
      <c r="H158" s="189"/>
      <c r="I158" s="183"/>
      <c r="J158" s="183"/>
      <c r="K158" s="183"/>
    </row>
    <row r="159" spans="1:11" x14ac:dyDescent="0.25">
      <c r="A159" s="187">
        <v>155</v>
      </c>
      <c r="B159" s="187">
        <v>4511</v>
      </c>
      <c r="C159" s="187">
        <v>11</v>
      </c>
      <c r="D159" s="186" t="s">
        <v>428</v>
      </c>
      <c r="E159" s="185" t="s">
        <v>436</v>
      </c>
      <c r="F159" s="184">
        <v>143900</v>
      </c>
      <c r="G159" s="183"/>
      <c r="H159" s="189"/>
      <c r="I159" s="188"/>
      <c r="J159" s="183"/>
      <c r="K159" s="183"/>
    </row>
    <row r="160" spans="1:11" x14ac:dyDescent="0.25">
      <c r="A160" s="187">
        <v>156</v>
      </c>
      <c r="B160" s="187">
        <v>4511</v>
      </c>
      <c r="C160" s="187">
        <v>11</v>
      </c>
      <c r="D160" s="186" t="s">
        <v>427</v>
      </c>
      <c r="E160" s="185" t="s">
        <v>426</v>
      </c>
      <c r="F160" s="184">
        <v>144390</v>
      </c>
      <c r="G160" s="188">
        <f>F160-F157</f>
        <v>3295</v>
      </c>
      <c r="H160" s="189"/>
      <c r="I160" s="183"/>
      <c r="J160" s="183"/>
      <c r="K160" s="183"/>
    </row>
    <row r="161" spans="1:11" x14ac:dyDescent="0.25">
      <c r="A161" s="187">
        <v>157</v>
      </c>
      <c r="B161" s="187">
        <v>4511</v>
      </c>
      <c r="C161" s="187">
        <v>12</v>
      </c>
      <c r="D161" s="186" t="s">
        <v>428</v>
      </c>
      <c r="E161" s="185" t="s">
        <v>412</v>
      </c>
      <c r="F161" s="184">
        <v>146580</v>
      </c>
      <c r="G161" s="188"/>
      <c r="H161" s="188">
        <f>F161-F148</f>
        <v>20000</v>
      </c>
      <c r="I161" s="183"/>
      <c r="J161" s="188">
        <v>148995</v>
      </c>
      <c r="K161" s="183" t="s">
        <v>435</v>
      </c>
    </row>
    <row r="162" spans="1:11" x14ac:dyDescent="0.25">
      <c r="A162" s="187">
        <v>158</v>
      </c>
      <c r="B162" s="187">
        <v>4511</v>
      </c>
      <c r="C162" s="187">
        <v>12</v>
      </c>
      <c r="D162" s="186" t="s">
        <v>428</v>
      </c>
      <c r="E162" s="185" t="s">
        <v>426</v>
      </c>
      <c r="F162" s="184">
        <v>147385</v>
      </c>
      <c r="G162" s="188">
        <f>F162-F160</f>
        <v>2995</v>
      </c>
      <c r="H162" s="189"/>
      <c r="I162" s="183"/>
      <c r="J162" s="188">
        <v>147024</v>
      </c>
      <c r="K162" s="183" t="s">
        <v>433</v>
      </c>
    </row>
    <row r="163" spans="1:11" x14ac:dyDescent="0.25">
      <c r="A163" s="187">
        <v>159</v>
      </c>
      <c r="B163" s="187">
        <v>4513</v>
      </c>
      <c r="C163" s="187">
        <v>11</v>
      </c>
      <c r="D163" s="186" t="s">
        <v>430</v>
      </c>
      <c r="E163" s="185" t="s">
        <v>413</v>
      </c>
      <c r="F163" s="184">
        <v>320</v>
      </c>
      <c r="G163" s="183"/>
      <c r="H163" s="189"/>
      <c r="I163" s="183"/>
      <c r="J163" s="188">
        <v>500</v>
      </c>
      <c r="K163" s="183" t="s">
        <v>434</v>
      </c>
    </row>
    <row r="164" spans="1:11" x14ac:dyDescent="0.25">
      <c r="A164" s="187">
        <v>160</v>
      </c>
      <c r="B164" s="187">
        <v>4513</v>
      </c>
      <c r="C164" s="187">
        <v>11</v>
      </c>
      <c r="D164" s="186" t="s">
        <v>427</v>
      </c>
      <c r="E164" s="185" t="s">
        <v>426</v>
      </c>
      <c r="F164" s="184">
        <v>1240</v>
      </c>
      <c r="G164" s="188">
        <f>(J161-F162)+F164</f>
        <v>2850</v>
      </c>
      <c r="H164" s="189"/>
      <c r="I164" s="183"/>
      <c r="J164" s="188">
        <v>529</v>
      </c>
      <c r="K164" s="183" t="s">
        <v>433</v>
      </c>
    </row>
    <row r="165" spans="1:11" x14ac:dyDescent="0.25">
      <c r="A165" s="187">
        <v>161</v>
      </c>
      <c r="B165" s="187">
        <v>4513</v>
      </c>
      <c r="C165" s="187">
        <v>13</v>
      </c>
      <c r="D165" s="186" t="s">
        <v>428</v>
      </c>
      <c r="E165" s="185" t="s">
        <v>426</v>
      </c>
      <c r="F165" s="184">
        <v>3656</v>
      </c>
      <c r="G165" s="188">
        <f>F165-F164</f>
        <v>2416</v>
      </c>
      <c r="H165" s="189"/>
      <c r="I165" s="183"/>
      <c r="J165" s="183"/>
      <c r="K165" s="183"/>
    </row>
    <row r="166" spans="1:11" x14ac:dyDescent="0.25">
      <c r="A166" s="187">
        <v>162</v>
      </c>
      <c r="B166" s="187">
        <v>4513</v>
      </c>
      <c r="C166" s="187">
        <v>13</v>
      </c>
      <c r="D166" s="186" t="s">
        <v>430</v>
      </c>
      <c r="E166" s="185" t="s">
        <v>413</v>
      </c>
      <c r="F166" s="184">
        <v>3875</v>
      </c>
      <c r="G166" s="183"/>
      <c r="H166" s="189"/>
      <c r="I166" s="183"/>
      <c r="J166" s="188">
        <v>3900</v>
      </c>
      <c r="K166" s="183" t="s">
        <v>432</v>
      </c>
    </row>
    <row r="167" spans="1:11" x14ac:dyDescent="0.25">
      <c r="A167" s="187">
        <v>163</v>
      </c>
      <c r="B167" s="187">
        <v>4513</v>
      </c>
      <c r="C167" s="187">
        <v>11</v>
      </c>
      <c r="D167" s="186" t="s">
        <v>430</v>
      </c>
      <c r="E167" s="185" t="s">
        <v>413</v>
      </c>
      <c r="F167" s="184">
        <v>4150</v>
      </c>
      <c r="G167" s="183"/>
      <c r="H167" s="189"/>
      <c r="I167" s="183"/>
      <c r="J167" s="183"/>
      <c r="K167" s="183"/>
    </row>
    <row r="168" spans="1:11" x14ac:dyDescent="0.25">
      <c r="A168" s="187">
        <v>164</v>
      </c>
      <c r="B168" s="187">
        <v>4513</v>
      </c>
      <c r="C168" s="187">
        <v>13</v>
      </c>
      <c r="D168" s="186" t="s">
        <v>428</v>
      </c>
      <c r="E168" s="185" t="s">
        <v>415</v>
      </c>
      <c r="F168" s="184">
        <v>4235</v>
      </c>
      <c r="G168" s="183"/>
      <c r="H168" s="189"/>
      <c r="I168" s="183"/>
      <c r="J168" s="188">
        <v>4360</v>
      </c>
      <c r="K168" s="183" t="s">
        <v>431</v>
      </c>
    </row>
    <row r="169" spans="1:11" x14ac:dyDescent="0.25">
      <c r="A169" s="187">
        <v>165</v>
      </c>
      <c r="B169" s="187">
        <v>4513</v>
      </c>
      <c r="C169" s="187">
        <v>11</v>
      </c>
      <c r="D169" s="186" t="s">
        <v>430</v>
      </c>
      <c r="E169" s="185" t="s">
        <v>413</v>
      </c>
      <c r="F169" s="184">
        <v>4400</v>
      </c>
      <c r="G169" s="183"/>
      <c r="H169" s="189"/>
      <c r="I169" s="183"/>
      <c r="J169" s="188">
        <v>4400</v>
      </c>
      <c r="K169" s="183" t="s">
        <v>429</v>
      </c>
    </row>
    <row r="170" spans="1:11" x14ac:dyDescent="0.25">
      <c r="A170" s="187">
        <v>166</v>
      </c>
      <c r="B170" s="187">
        <v>4513</v>
      </c>
      <c r="C170" s="187">
        <v>11</v>
      </c>
      <c r="D170" s="186" t="s">
        <v>427</v>
      </c>
      <c r="E170" s="185" t="s">
        <v>412</v>
      </c>
      <c r="F170" s="184">
        <v>5900</v>
      </c>
      <c r="G170" s="183"/>
      <c r="H170" s="190"/>
      <c r="I170" s="188">
        <f>F170+(J161-F155)</f>
        <v>18145</v>
      </c>
      <c r="J170" s="183"/>
      <c r="K170" s="183"/>
    </row>
    <row r="171" spans="1:11" x14ac:dyDescent="0.25">
      <c r="A171" s="187">
        <v>167</v>
      </c>
      <c r="B171" s="187">
        <v>4513</v>
      </c>
      <c r="C171" s="187">
        <v>13</v>
      </c>
      <c r="D171" s="186" t="s">
        <v>428</v>
      </c>
      <c r="E171" s="185" t="s">
        <v>414</v>
      </c>
      <c r="F171" s="184">
        <v>5900</v>
      </c>
      <c r="G171" s="183"/>
      <c r="H171" s="189"/>
      <c r="I171" s="183"/>
      <c r="J171" s="183"/>
      <c r="K171" s="183"/>
    </row>
    <row r="172" spans="1:11" x14ac:dyDescent="0.25">
      <c r="A172" s="187">
        <v>168</v>
      </c>
      <c r="B172" s="187">
        <v>4513</v>
      </c>
      <c r="C172" s="187">
        <v>11</v>
      </c>
      <c r="D172" s="186" t="s">
        <v>427</v>
      </c>
      <c r="E172" s="185" t="s">
        <v>426</v>
      </c>
      <c r="F172" s="184">
        <v>6050</v>
      </c>
      <c r="G172" s="188">
        <f>F172-F165</f>
        <v>2394</v>
      </c>
      <c r="H172" s="183"/>
      <c r="I172" s="183"/>
      <c r="J172" s="183"/>
      <c r="K172" s="183"/>
    </row>
    <row r="173" spans="1:11" x14ac:dyDescent="0.25">
      <c r="A173" s="187">
        <v>169</v>
      </c>
      <c r="B173" s="187">
        <v>4513</v>
      </c>
      <c r="C173" s="187">
        <v>13</v>
      </c>
      <c r="D173" s="186" t="s">
        <v>425</v>
      </c>
      <c r="E173" s="185" t="s">
        <v>426</v>
      </c>
      <c r="F173" s="184">
        <v>9000</v>
      </c>
      <c r="G173" s="188">
        <f>F173-F172</f>
        <v>2950</v>
      </c>
      <c r="H173" s="183"/>
      <c r="I173" s="183"/>
      <c r="J173" s="183"/>
      <c r="K173" s="183"/>
    </row>
    <row r="174" spans="1:11" x14ac:dyDescent="0.25">
      <c r="A174" s="187">
        <v>170</v>
      </c>
      <c r="B174" s="187">
        <v>4513</v>
      </c>
      <c r="C174" s="187">
        <v>11</v>
      </c>
      <c r="D174" s="186" t="s">
        <v>425</v>
      </c>
      <c r="E174" s="185" t="s">
        <v>413</v>
      </c>
      <c r="F174" s="184">
        <v>9800</v>
      </c>
      <c r="G174" s="183"/>
      <c r="H174" s="183"/>
      <c r="I174" s="183"/>
      <c r="J174" s="183"/>
      <c r="K174" s="183"/>
    </row>
  </sheetData>
  <autoFilter ref="B3:H174" xr:uid="{AC788D40-3306-4CC3-BEF3-F5C8A1776FBE}"/>
  <mergeCells count="6">
    <mergeCell ref="N1:O1"/>
    <mergeCell ref="J2:K3"/>
    <mergeCell ref="A1:F1"/>
    <mergeCell ref="A2:F2"/>
    <mergeCell ref="G2:I2"/>
    <mergeCell ref="M1: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FA146-0C33-401C-B377-8A123AFC6610}">
  <dimension ref="A2:AM37"/>
  <sheetViews>
    <sheetView zoomScale="55" zoomScaleNormal="55" workbookViewId="0">
      <pane xSplit="3" ySplit="3" topLeftCell="D4" activePane="bottomRight" state="frozen"/>
      <selection pane="topRight" activeCell="D1" sqref="D1"/>
      <selection pane="bottomLeft" activeCell="A3" sqref="A3"/>
      <selection pane="bottomRight"/>
    </sheetView>
  </sheetViews>
  <sheetFormatPr baseColWidth="10" defaultColWidth="11" defaultRowHeight="15" x14ac:dyDescent="0.25"/>
  <cols>
    <col min="1" max="1" width="64.125" style="315" customWidth="1"/>
    <col min="2" max="2" width="10.625" style="315" customWidth="1"/>
    <col min="3" max="3" width="7.125" style="315" customWidth="1"/>
    <col min="4" max="4" width="8.125" style="315" customWidth="1"/>
    <col min="5" max="5" width="29.125" style="315" customWidth="1"/>
    <col min="6" max="6" width="9" style="315" bestFit="1" customWidth="1"/>
    <col min="7" max="7" width="27.625" style="315" bestFit="1" customWidth="1"/>
    <col min="8" max="8" width="12" style="315" bestFit="1" customWidth="1"/>
    <col min="9" max="9" width="27.625" style="315" bestFit="1" customWidth="1"/>
    <col min="10" max="10" width="10.375" style="315" bestFit="1" customWidth="1"/>
    <col min="11" max="11" width="27.625" style="315" bestFit="1" customWidth="1"/>
    <col min="12" max="12" width="10.375" style="315" bestFit="1" customWidth="1"/>
    <col min="13" max="13" width="27.625" style="315" bestFit="1" customWidth="1"/>
    <col min="14" max="14" width="12" style="315" bestFit="1" customWidth="1"/>
    <col min="15" max="15" width="27.625" style="315" bestFit="1" customWidth="1"/>
    <col min="16" max="16" width="16" style="315" hidden="1" customWidth="1"/>
    <col min="17" max="17" width="12" style="315" bestFit="1" customWidth="1"/>
    <col min="18" max="18" width="27.625" style="315" bestFit="1" customWidth="1"/>
    <col min="19" max="19" width="10.375" style="315" bestFit="1" customWidth="1"/>
    <col min="20" max="20" width="27.625" style="315" bestFit="1" customWidth="1"/>
    <col min="21" max="21" width="9" style="315" bestFit="1" customWidth="1"/>
    <col min="22" max="22" width="27.625" style="315" bestFit="1" customWidth="1"/>
    <col min="23" max="23" width="12" style="315" bestFit="1" customWidth="1"/>
    <col min="24" max="24" width="27.625" style="315" bestFit="1" customWidth="1"/>
    <col min="25" max="25" width="12" style="315" bestFit="1" customWidth="1"/>
    <col min="26" max="26" width="27.625" style="315" bestFit="1" customWidth="1"/>
    <col min="27" max="27" width="12" style="315" bestFit="1" customWidth="1"/>
    <col min="28" max="28" width="27.625" style="315" bestFit="1" customWidth="1"/>
    <col min="29" max="29" width="12" style="315" bestFit="1" customWidth="1"/>
    <col min="30" max="30" width="27.625" style="315" bestFit="1" customWidth="1"/>
    <col min="31" max="31" width="12" style="315" bestFit="1" customWidth="1"/>
    <col min="32" max="32" width="27.625" style="315" bestFit="1" customWidth="1"/>
    <col min="33" max="33" width="9.125" style="315" hidden="1" customWidth="1"/>
    <col min="34" max="34" width="18.75" style="315" customWidth="1"/>
    <col min="35" max="35" width="32.125" style="315" bestFit="1" customWidth="1"/>
    <col min="36" max="36" width="11" style="315"/>
    <col min="37" max="37" width="25.625" style="315" hidden="1" customWidth="1"/>
    <col min="38" max="38" width="11" style="315"/>
    <col min="39" max="39" width="16.75" style="315" bestFit="1" customWidth="1"/>
    <col min="40" max="16384" width="11" style="315"/>
  </cols>
  <sheetData>
    <row r="2" spans="1:39" ht="24" x14ac:dyDescent="0.4">
      <c r="A2" s="373" t="s">
        <v>401</v>
      </c>
      <c r="B2" s="375" t="s">
        <v>402</v>
      </c>
      <c r="C2" s="376"/>
      <c r="D2" s="379" t="s">
        <v>403</v>
      </c>
      <c r="E2" s="380"/>
      <c r="F2" s="379">
        <v>1</v>
      </c>
      <c r="G2" s="380"/>
      <c r="H2" s="379">
        <v>2</v>
      </c>
      <c r="I2" s="380"/>
      <c r="J2" s="379">
        <v>3</v>
      </c>
      <c r="K2" s="380"/>
      <c r="L2" s="379">
        <v>4</v>
      </c>
      <c r="M2" s="380"/>
      <c r="N2" s="379">
        <v>5</v>
      </c>
      <c r="O2" s="380"/>
      <c r="P2" s="313"/>
      <c r="Q2" s="379">
        <v>6</v>
      </c>
      <c r="R2" s="380"/>
      <c r="S2" s="379">
        <v>7</v>
      </c>
      <c r="T2" s="380"/>
      <c r="U2" s="379">
        <v>8</v>
      </c>
      <c r="V2" s="380"/>
      <c r="W2" s="379">
        <v>9</v>
      </c>
      <c r="X2" s="380"/>
      <c r="Y2" s="379">
        <v>10</v>
      </c>
      <c r="Z2" s="380"/>
      <c r="AA2" s="379">
        <v>11</v>
      </c>
      <c r="AB2" s="380"/>
      <c r="AC2" s="379">
        <v>12</v>
      </c>
      <c r="AD2" s="380"/>
      <c r="AE2" s="379">
        <v>13</v>
      </c>
      <c r="AF2" s="380"/>
      <c r="AG2" s="314"/>
      <c r="AH2" s="381" t="s">
        <v>404</v>
      </c>
      <c r="AI2" s="383" t="s">
        <v>405</v>
      </c>
    </row>
    <row r="3" spans="1:39" ht="24" x14ac:dyDescent="0.4">
      <c r="A3" s="374"/>
      <c r="B3" s="377"/>
      <c r="C3" s="378"/>
      <c r="D3" s="313" t="s">
        <v>406</v>
      </c>
      <c r="E3" s="313" t="s">
        <v>407</v>
      </c>
      <c r="F3" s="313" t="s">
        <v>406</v>
      </c>
      <c r="G3" s="313" t="s">
        <v>407</v>
      </c>
      <c r="H3" s="313" t="s">
        <v>406</v>
      </c>
      <c r="I3" s="313" t="s">
        <v>407</v>
      </c>
      <c r="J3" s="313" t="s">
        <v>406</v>
      </c>
      <c r="K3" s="313" t="s">
        <v>407</v>
      </c>
      <c r="L3" s="313" t="s">
        <v>406</v>
      </c>
      <c r="M3" s="313" t="s">
        <v>407</v>
      </c>
      <c r="N3" s="313" t="s">
        <v>406</v>
      </c>
      <c r="O3" s="313" t="s">
        <v>407</v>
      </c>
      <c r="P3" s="313" t="s">
        <v>408</v>
      </c>
      <c r="Q3" s="313" t="s">
        <v>406</v>
      </c>
      <c r="R3" s="313" t="s">
        <v>407</v>
      </c>
      <c r="S3" s="313" t="s">
        <v>406</v>
      </c>
      <c r="T3" s="313" t="s">
        <v>407</v>
      </c>
      <c r="U3" s="313" t="s">
        <v>406</v>
      </c>
      <c r="V3" s="313" t="s">
        <v>407</v>
      </c>
      <c r="W3" s="313" t="s">
        <v>406</v>
      </c>
      <c r="X3" s="313" t="s">
        <v>407</v>
      </c>
      <c r="Y3" s="313" t="s">
        <v>406</v>
      </c>
      <c r="Z3" s="313" t="s">
        <v>407</v>
      </c>
      <c r="AA3" s="313" t="s">
        <v>406</v>
      </c>
      <c r="AB3" s="313" t="s">
        <v>407</v>
      </c>
      <c r="AC3" s="313" t="s">
        <v>406</v>
      </c>
      <c r="AD3" s="313" t="s">
        <v>407</v>
      </c>
      <c r="AE3" s="313" t="s">
        <v>406</v>
      </c>
      <c r="AF3" s="313" t="s">
        <v>407</v>
      </c>
      <c r="AG3" s="313" t="s">
        <v>408</v>
      </c>
      <c r="AH3" s="382"/>
      <c r="AI3" s="384"/>
      <c r="AK3" s="316" t="s">
        <v>409</v>
      </c>
    </row>
    <row r="4" spans="1:39" ht="21" customHeight="1" x14ac:dyDescent="0.25">
      <c r="A4" s="317" t="s">
        <v>410</v>
      </c>
      <c r="B4" s="385" t="s">
        <v>411</v>
      </c>
      <c r="C4" s="386"/>
      <c r="D4" s="318">
        <v>38</v>
      </c>
      <c r="E4" s="319">
        <f t="shared" ref="E4:E10" si="0">D4*AK4</f>
        <v>2931659091.8600001</v>
      </c>
      <c r="F4" s="318">
        <v>2</v>
      </c>
      <c r="G4" s="319">
        <f t="shared" ref="G4:G10" si="1">F4*AK4</f>
        <v>154297846.94</v>
      </c>
      <c r="H4" s="318">
        <v>6</v>
      </c>
      <c r="I4" s="319">
        <f t="shared" ref="I4:I10" si="2">H4*AK4</f>
        <v>462893540.81999999</v>
      </c>
      <c r="J4" s="318">
        <v>3</v>
      </c>
      <c r="K4" s="319">
        <f t="shared" ref="K4:K10" si="3">J4*AK4</f>
        <v>231446770.41</v>
      </c>
      <c r="L4" s="318">
        <v>1</v>
      </c>
      <c r="M4" s="319">
        <f t="shared" ref="M4:M10" si="4">L4*AK4</f>
        <v>77148923.469999999</v>
      </c>
      <c r="N4" s="318">
        <v>9</v>
      </c>
      <c r="O4" s="319">
        <f t="shared" ref="O4:O10" si="5">N4*AK4</f>
        <v>694340311.23000002</v>
      </c>
      <c r="P4" s="318">
        <f>D4+F4+H4+J4+L4+N4</f>
        <v>59</v>
      </c>
      <c r="Q4" s="318">
        <v>1</v>
      </c>
      <c r="R4" s="319">
        <f t="shared" ref="R4:R10" si="6">Q4*AK4</f>
        <v>77148923.469999999</v>
      </c>
      <c r="S4" s="318">
        <v>2</v>
      </c>
      <c r="T4" s="319">
        <f t="shared" ref="T4:T10" si="7">S4*AK4</f>
        <v>154297846.94</v>
      </c>
      <c r="U4" s="318">
        <v>1</v>
      </c>
      <c r="V4" s="319">
        <f t="shared" ref="V4:V10" si="8">U4*AK4</f>
        <v>77148923.469999999</v>
      </c>
      <c r="W4" s="318">
        <v>2</v>
      </c>
      <c r="X4" s="319">
        <f t="shared" ref="X4:X10" si="9">W4*AK4</f>
        <v>154297846.94</v>
      </c>
      <c r="Y4" s="318">
        <v>2</v>
      </c>
      <c r="Z4" s="319">
        <f t="shared" ref="Z4:Z10" si="10">Y4*AK4</f>
        <v>154297846.94</v>
      </c>
      <c r="AA4" s="318">
        <v>15</v>
      </c>
      <c r="AB4" s="319">
        <f t="shared" ref="AB4:AB10" si="11">AA4*AK4</f>
        <v>1157233852.05</v>
      </c>
      <c r="AC4" s="318">
        <v>4</v>
      </c>
      <c r="AD4" s="319">
        <f t="shared" ref="AD4:AD10" si="12">AC4*AK4</f>
        <v>308595693.88</v>
      </c>
      <c r="AE4" s="318">
        <v>2</v>
      </c>
      <c r="AF4" s="319">
        <f t="shared" ref="AF4:AF10" si="13">AE4*AK4</f>
        <v>154297846.94</v>
      </c>
      <c r="AG4" s="318">
        <f t="shared" ref="AG4:AG10" si="14">Q4+S4+U4+W4+Y4+AA4+AC4+AE4</f>
        <v>29</v>
      </c>
      <c r="AH4" s="318">
        <f>AG4+P4</f>
        <v>88</v>
      </c>
      <c r="AI4" s="320">
        <f>ROUND(AH4*AK4,2)</f>
        <v>6789105265.3599997</v>
      </c>
      <c r="AK4" s="321">
        <f>ROUND('RESUMEN COMPONENTES'!E10/88,2)</f>
        <v>77148923.469999999</v>
      </c>
      <c r="AM4" s="322"/>
    </row>
    <row r="5" spans="1:39" ht="21" customHeight="1" x14ac:dyDescent="0.25">
      <c r="A5" s="317" t="s">
        <v>335</v>
      </c>
      <c r="B5" s="385" t="s">
        <v>411</v>
      </c>
      <c r="C5" s="386"/>
      <c r="D5" s="318">
        <v>1</v>
      </c>
      <c r="E5" s="319">
        <f t="shared" si="0"/>
        <v>121693835.08</v>
      </c>
      <c r="F5" s="318">
        <v>0</v>
      </c>
      <c r="G5" s="319">
        <f t="shared" si="1"/>
        <v>0</v>
      </c>
      <c r="H5" s="318">
        <v>0</v>
      </c>
      <c r="I5" s="319">
        <f t="shared" si="2"/>
        <v>0</v>
      </c>
      <c r="J5" s="318">
        <v>0</v>
      </c>
      <c r="K5" s="319">
        <f t="shared" si="3"/>
        <v>0</v>
      </c>
      <c r="L5" s="318">
        <v>0</v>
      </c>
      <c r="M5" s="319">
        <f t="shared" si="4"/>
        <v>0</v>
      </c>
      <c r="N5" s="318">
        <v>1</v>
      </c>
      <c r="O5" s="319">
        <f t="shared" si="5"/>
        <v>121693835.08</v>
      </c>
      <c r="P5" s="318">
        <f t="shared" ref="P5:P10" si="15">D5+F5+H5+J5+L5+N5</f>
        <v>2</v>
      </c>
      <c r="Q5" s="318">
        <v>1</v>
      </c>
      <c r="R5" s="319">
        <f t="shared" si="6"/>
        <v>121693835.08</v>
      </c>
      <c r="S5" s="318">
        <v>0</v>
      </c>
      <c r="T5" s="319">
        <f t="shared" si="7"/>
        <v>0</v>
      </c>
      <c r="U5" s="318">
        <v>0</v>
      </c>
      <c r="V5" s="319">
        <f t="shared" si="8"/>
        <v>0</v>
      </c>
      <c r="W5" s="318">
        <v>0</v>
      </c>
      <c r="X5" s="319">
        <f t="shared" si="9"/>
        <v>0</v>
      </c>
      <c r="Y5" s="318">
        <v>0</v>
      </c>
      <c r="Z5" s="319">
        <f t="shared" si="10"/>
        <v>0</v>
      </c>
      <c r="AA5" s="318">
        <v>0</v>
      </c>
      <c r="AB5" s="319">
        <f t="shared" si="11"/>
        <v>0</v>
      </c>
      <c r="AC5" s="318">
        <v>0</v>
      </c>
      <c r="AD5" s="319">
        <f t="shared" si="12"/>
        <v>0</v>
      </c>
      <c r="AE5" s="318">
        <v>1</v>
      </c>
      <c r="AF5" s="319">
        <f t="shared" si="13"/>
        <v>121693835.08</v>
      </c>
      <c r="AG5" s="318">
        <f t="shared" si="14"/>
        <v>2</v>
      </c>
      <c r="AH5" s="318">
        <f t="shared" ref="AH5:AH14" si="16">AG5+P5</f>
        <v>4</v>
      </c>
      <c r="AI5" s="320">
        <f t="shared" ref="AI5:AI15" si="17">ROUND(AH5*AK5,2)</f>
        <v>486775340.31999999</v>
      </c>
      <c r="AK5" s="321">
        <f>ROUND('RESUMEN COMPONENTES'!E11/4,2)</f>
        <v>121693835.08</v>
      </c>
      <c r="AM5" s="322"/>
    </row>
    <row r="6" spans="1:39" ht="21" customHeight="1" x14ac:dyDescent="0.25">
      <c r="A6" s="317" t="s">
        <v>336</v>
      </c>
      <c r="B6" s="385" t="s">
        <v>411</v>
      </c>
      <c r="C6" s="386"/>
      <c r="D6" s="318">
        <v>13</v>
      </c>
      <c r="E6" s="319">
        <f t="shared" si="0"/>
        <v>5060843278.9200001</v>
      </c>
      <c r="F6" s="318">
        <v>0</v>
      </c>
      <c r="G6" s="319">
        <f t="shared" si="1"/>
        <v>0</v>
      </c>
      <c r="H6" s="318">
        <v>1</v>
      </c>
      <c r="I6" s="319">
        <f t="shared" si="2"/>
        <v>389295636.83999997</v>
      </c>
      <c r="J6" s="318">
        <v>1</v>
      </c>
      <c r="K6" s="319">
        <f t="shared" si="3"/>
        <v>389295636.83999997</v>
      </c>
      <c r="L6" s="318">
        <v>1</v>
      </c>
      <c r="M6" s="319">
        <f t="shared" si="4"/>
        <v>389295636.83999997</v>
      </c>
      <c r="N6" s="318">
        <v>3</v>
      </c>
      <c r="O6" s="319">
        <f t="shared" si="5"/>
        <v>1167886910.52</v>
      </c>
      <c r="P6" s="318">
        <f t="shared" si="15"/>
        <v>19</v>
      </c>
      <c r="Q6" s="318">
        <v>0</v>
      </c>
      <c r="R6" s="319">
        <f t="shared" si="6"/>
        <v>0</v>
      </c>
      <c r="S6" s="318">
        <v>1</v>
      </c>
      <c r="T6" s="319">
        <f t="shared" si="7"/>
        <v>389295636.83999997</v>
      </c>
      <c r="U6" s="318">
        <v>1</v>
      </c>
      <c r="V6" s="319">
        <f t="shared" si="8"/>
        <v>389295636.83999997</v>
      </c>
      <c r="W6" s="318">
        <v>0</v>
      </c>
      <c r="X6" s="319">
        <f t="shared" si="9"/>
        <v>0</v>
      </c>
      <c r="Y6" s="318">
        <v>1</v>
      </c>
      <c r="Z6" s="319">
        <f t="shared" si="10"/>
        <v>389295636.83999997</v>
      </c>
      <c r="AA6" s="318">
        <v>5</v>
      </c>
      <c r="AB6" s="319">
        <f t="shared" si="11"/>
        <v>1946478184.1999998</v>
      </c>
      <c r="AC6" s="318">
        <v>1</v>
      </c>
      <c r="AD6" s="319">
        <f t="shared" si="12"/>
        <v>389295636.83999997</v>
      </c>
      <c r="AE6" s="318">
        <v>0</v>
      </c>
      <c r="AF6" s="319">
        <f t="shared" si="13"/>
        <v>0</v>
      </c>
      <c r="AG6" s="318">
        <f t="shared" si="14"/>
        <v>9</v>
      </c>
      <c r="AH6" s="318">
        <f t="shared" si="16"/>
        <v>28</v>
      </c>
      <c r="AI6" s="320">
        <f t="shared" si="17"/>
        <v>10900277831.52</v>
      </c>
      <c r="AK6" s="321">
        <f>ROUND('RESUMEN COMPONENTES'!E12/28,2)</f>
        <v>389295636.83999997</v>
      </c>
      <c r="AM6" s="322"/>
    </row>
    <row r="7" spans="1:39" ht="21" customHeight="1" x14ac:dyDescent="0.25">
      <c r="A7" s="317" t="s">
        <v>423</v>
      </c>
      <c r="B7" s="385" t="s">
        <v>411</v>
      </c>
      <c r="C7" s="386"/>
      <c r="D7" s="318">
        <v>3</v>
      </c>
      <c r="E7" s="319">
        <f t="shared" si="0"/>
        <v>907220612.16000009</v>
      </c>
      <c r="F7" s="318">
        <v>0</v>
      </c>
      <c r="G7" s="319">
        <f t="shared" si="1"/>
        <v>0</v>
      </c>
      <c r="H7" s="318">
        <v>0</v>
      </c>
      <c r="I7" s="319">
        <f t="shared" si="2"/>
        <v>0</v>
      </c>
      <c r="J7" s="318">
        <v>0</v>
      </c>
      <c r="K7" s="319">
        <f t="shared" si="3"/>
        <v>0</v>
      </c>
      <c r="L7" s="318">
        <v>0</v>
      </c>
      <c r="M7" s="319">
        <f t="shared" si="4"/>
        <v>0</v>
      </c>
      <c r="N7" s="318">
        <v>2</v>
      </c>
      <c r="O7" s="319">
        <f t="shared" si="5"/>
        <v>604813741.44000006</v>
      </c>
      <c r="P7" s="318">
        <f t="shared" si="15"/>
        <v>5</v>
      </c>
      <c r="Q7" s="318">
        <v>1</v>
      </c>
      <c r="R7" s="319">
        <f t="shared" si="6"/>
        <v>302406870.72000003</v>
      </c>
      <c r="S7" s="318">
        <v>0</v>
      </c>
      <c r="T7" s="319">
        <f t="shared" si="7"/>
        <v>0</v>
      </c>
      <c r="U7" s="318">
        <v>0</v>
      </c>
      <c r="V7" s="319">
        <f t="shared" si="8"/>
        <v>0</v>
      </c>
      <c r="W7" s="318">
        <v>0</v>
      </c>
      <c r="X7" s="319">
        <f t="shared" si="9"/>
        <v>0</v>
      </c>
      <c r="Y7" s="318">
        <v>0</v>
      </c>
      <c r="Z7" s="319">
        <f t="shared" si="10"/>
        <v>0</v>
      </c>
      <c r="AA7" s="318">
        <v>1</v>
      </c>
      <c r="AB7" s="319">
        <f t="shared" si="11"/>
        <v>302406870.72000003</v>
      </c>
      <c r="AC7" s="318">
        <v>0</v>
      </c>
      <c r="AD7" s="319">
        <f t="shared" si="12"/>
        <v>0</v>
      </c>
      <c r="AE7" s="318">
        <v>1</v>
      </c>
      <c r="AF7" s="319">
        <f t="shared" si="13"/>
        <v>302406870.72000003</v>
      </c>
      <c r="AG7" s="318">
        <f t="shared" si="14"/>
        <v>3</v>
      </c>
      <c r="AH7" s="318">
        <f t="shared" si="16"/>
        <v>8</v>
      </c>
      <c r="AI7" s="320">
        <f t="shared" si="17"/>
        <v>2419254965.7600002</v>
      </c>
      <c r="AK7" s="321">
        <f>ROUND('RESUMEN COMPONENTES'!E13/8,2)</f>
        <v>302406870.72000003</v>
      </c>
      <c r="AM7" s="322"/>
    </row>
    <row r="8" spans="1:39" ht="22.5" customHeight="1" x14ac:dyDescent="0.25">
      <c r="A8" s="317" t="s">
        <v>424</v>
      </c>
      <c r="B8" s="385" t="s">
        <v>411</v>
      </c>
      <c r="C8" s="386"/>
      <c r="D8" s="318">
        <v>5</v>
      </c>
      <c r="E8" s="319">
        <f t="shared" si="0"/>
        <v>714647356.70000005</v>
      </c>
      <c r="F8" s="318">
        <v>0</v>
      </c>
      <c r="G8" s="319">
        <f t="shared" si="1"/>
        <v>0</v>
      </c>
      <c r="H8" s="318">
        <v>1</v>
      </c>
      <c r="I8" s="319">
        <f t="shared" si="2"/>
        <v>142929471.34</v>
      </c>
      <c r="J8" s="318">
        <v>0</v>
      </c>
      <c r="K8" s="319">
        <f t="shared" si="3"/>
        <v>0</v>
      </c>
      <c r="L8" s="318">
        <v>1</v>
      </c>
      <c r="M8" s="319">
        <f t="shared" si="4"/>
        <v>142929471.34</v>
      </c>
      <c r="N8" s="318">
        <v>1</v>
      </c>
      <c r="O8" s="319">
        <f t="shared" si="5"/>
        <v>142929471.34</v>
      </c>
      <c r="P8" s="318">
        <f t="shared" si="15"/>
        <v>8</v>
      </c>
      <c r="Q8" s="318">
        <v>0</v>
      </c>
      <c r="R8" s="319">
        <f t="shared" si="6"/>
        <v>0</v>
      </c>
      <c r="S8" s="318">
        <v>1</v>
      </c>
      <c r="T8" s="319">
        <f t="shared" si="7"/>
        <v>142929471.34</v>
      </c>
      <c r="U8" s="318">
        <v>0</v>
      </c>
      <c r="V8" s="319">
        <f t="shared" si="8"/>
        <v>0</v>
      </c>
      <c r="W8" s="318">
        <v>0</v>
      </c>
      <c r="X8" s="319">
        <f t="shared" si="9"/>
        <v>0</v>
      </c>
      <c r="Y8" s="318">
        <v>0</v>
      </c>
      <c r="Z8" s="319">
        <f t="shared" si="10"/>
        <v>0</v>
      </c>
      <c r="AA8" s="318">
        <v>2</v>
      </c>
      <c r="AB8" s="319">
        <f t="shared" si="11"/>
        <v>285858942.68000001</v>
      </c>
      <c r="AC8" s="318">
        <v>1</v>
      </c>
      <c r="AD8" s="319">
        <f t="shared" si="12"/>
        <v>142929471.34</v>
      </c>
      <c r="AE8" s="318">
        <v>0</v>
      </c>
      <c r="AF8" s="319">
        <f t="shared" si="13"/>
        <v>0</v>
      </c>
      <c r="AG8" s="318">
        <f t="shared" si="14"/>
        <v>4</v>
      </c>
      <c r="AH8" s="318">
        <f t="shared" si="16"/>
        <v>12</v>
      </c>
      <c r="AI8" s="320">
        <f t="shared" si="17"/>
        <v>1715153656.0799999</v>
      </c>
      <c r="AK8" s="321">
        <f>ROUND('RESUMEN COMPONENTES'!E14/12,2)</f>
        <v>142929471.34</v>
      </c>
      <c r="AM8" s="322"/>
    </row>
    <row r="9" spans="1:39" ht="21" customHeight="1" x14ac:dyDescent="0.25">
      <c r="A9" s="317" t="s">
        <v>338</v>
      </c>
      <c r="B9" s="385" t="s">
        <v>411</v>
      </c>
      <c r="C9" s="386"/>
      <c r="D9" s="318">
        <v>7</v>
      </c>
      <c r="E9" s="319">
        <f t="shared" si="0"/>
        <v>442046180.51999998</v>
      </c>
      <c r="F9" s="318">
        <v>3</v>
      </c>
      <c r="G9" s="319">
        <f t="shared" si="1"/>
        <v>189448363.07999998</v>
      </c>
      <c r="H9" s="318">
        <v>2</v>
      </c>
      <c r="I9" s="319">
        <f t="shared" si="2"/>
        <v>126298908.72</v>
      </c>
      <c r="J9" s="318">
        <v>0</v>
      </c>
      <c r="K9" s="319">
        <f t="shared" si="3"/>
        <v>0</v>
      </c>
      <c r="L9" s="318">
        <v>0</v>
      </c>
      <c r="M9" s="319">
        <f t="shared" si="4"/>
        <v>0</v>
      </c>
      <c r="N9" s="318">
        <v>7</v>
      </c>
      <c r="O9" s="319">
        <f t="shared" si="5"/>
        <v>442046180.51999998</v>
      </c>
      <c r="P9" s="318">
        <f t="shared" si="15"/>
        <v>19</v>
      </c>
      <c r="Q9" s="318">
        <v>2</v>
      </c>
      <c r="R9" s="319">
        <f t="shared" si="6"/>
        <v>126298908.72</v>
      </c>
      <c r="S9" s="318">
        <v>0</v>
      </c>
      <c r="T9" s="319">
        <f t="shared" si="7"/>
        <v>0</v>
      </c>
      <c r="U9" s="318">
        <v>0</v>
      </c>
      <c r="V9" s="319">
        <f t="shared" si="8"/>
        <v>0</v>
      </c>
      <c r="W9" s="318">
        <v>3</v>
      </c>
      <c r="X9" s="319">
        <f t="shared" si="9"/>
        <v>189448363.07999998</v>
      </c>
      <c r="Y9" s="318">
        <v>0</v>
      </c>
      <c r="Z9" s="319">
        <f t="shared" si="10"/>
        <v>0</v>
      </c>
      <c r="AA9" s="318">
        <v>5</v>
      </c>
      <c r="AB9" s="319">
        <f t="shared" si="11"/>
        <v>315747271.80000001</v>
      </c>
      <c r="AC9" s="318">
        <v>0</v>
      </c>
      <c r="AD9" s="319">
        <f t="shared" si="12"/>
        <v>0</v>
      </c>
      <c r="AE9" s="318">
        <v>1</v>
      </c>
      <c r="AF9" s="319">
        <f t="shared" si="13"/>
        <v>63149454.359999999</v>
      </c>
      <c r="AG9" s="318">
        <f t="shared" si="14"/>
        <v>11</v>
      </c>
      <c r="AH9" s="318">
        <f t="shared" si="16"/>
        <v>30</v>
      </c>
      <c r="AI9" s="320">
        <f t="shared" si="17"/>
        <v>1894483630.8</v>
      </c>
      <c r="AK9" s="321">
        <f>ROUND('RESUMEN COMPONENTES'!E15/30,2)</f>
        <v>63149454.359999999</v>
      </c>
      <c r="AM9" s="322"/>
    </row>
    <row r="10" spans="1:39" ht="21" customHeight="1" x14ac:dyDescent="0.25">
      <c r="A10" s="317" t="s">
        <v>111</v>
      </c>
      <c r="B10" s="385" t="s">
        <v>416</v>
      </c>
      <c r="C10" s="386"/>
      <c r="D10" s="318">
        <f>(45.14+3.94+20+10.58+20+0.472)*1.12</f>
        <v>112.14784</v>
      </c>
      <c r="E10" s="319">
        <f t="shared" si="0"/>
        <v>6288772796.6587782</v>
      </c>
      <c r="F10" s="323">
        <f>(1.64+2.843)*1.12</f>
        <v>5.0209599999999996</v>
      </c>
      <c r="G10" s="319">
        <f t="shared" si="1"/>
        <v>281554033.1504544</v>
      </c>
      <c r="H10" s="323">
        <f>(6.605+11.1)*1.12</f>
        <v>19.829599999999999</v>
      </c>
      <c r="I10" s="319">
        <f t="shared" si="2"/>
        <v>1111959437.191344</v>
      </c>
      <c r="J10" s="323">
        <f>(0.56+8.74+3.05)*1.12</f>
        <v>13.832000000000003</v>
      </c>
      <c r="K10" s="319">
        <f t="shared" si="3"/>
        <v>775639596.12048018</v>
      </c>
      <c r="L10" s="323">
        <f>10*1.12</f>
        <v>11.200000000000001</v>
      </c>
      <c r="M10" s="319">
        <f t="shared" si="4"/>
        <v>628048255.96800005</v>
      </c>
      <c r="N10" s="323">
        <f>(5.04+1.18+0.505+1.092+8.456+13.395+0.4+0.8)*1.12</f>
        <v>34.572160000000004</v>
      </c>
      <c r="O10" s="319">
        <f t="shared" si="5"/>
        <v>1938659356.5220227</v>
      </c>
      <c r="P10" s="318">
        <f t="shared" si="15"/>
        <v>196.60255999999998</v>
      </c>
      <c r="Q10" s="323">
        <f>8.57*1.12</f>
        <v>9.5984000000000016</v>
      </c>
      <c r="R10" s="319">
        <f t="shared" si="6"/>
        <v>538237355.3645761</v>
      </c>
      <c r="S10" s="323">
        <f>13.78*1.12</f>
        <v>15.4336</v>
      </c>
      <c r="T10" s="319">
        <f t="shared" si="7"/>
        <v>865450496.72390401</v>
      </c>
      <c r="U10" s="323">
        <f>10*1.12</f>
        <v>11.200000000000001</v>
      </c>
      <c r="V10" s="319">
        <f t="shared" si="8"/>
        <v>628048255.96800005</v>
      </c>
      <c r="W10" s="323">
        <f>10.69*1.12</f>
        <v>11.972800000000001</v>
      </c>
      <c r="X10" s="319">
        <f t="shared" si="9"/>
        <v>671383585.62979209</v>
      </c>
      <c r="Y10" s="323">
        <f>10.31*1.12</f>
        <v>11.547200000000002</v>
      </c>
      <c r="Z10" s="319">
        <f t="shared" si="10"/>
        <v>647517751.9030081</v>
      </c>
      <c r="AA10" s="323">
        <v>0</v>
      </c>
      <c r="AB10" s="319">
        <f t="shared" si="11"/>
        <v>0</v>
      </c>
      <c r="AC10" s="323">
        <f>21.142*1.12</f>
        <v>23.679040000000001</v>
      </c>
      <c r="AD10" s="319">
        <f t="shared" si="12"/>
        <v>1327819622.7675457</v>
      </c>
      <c r="AE10" s="323">
        <f>9.9*1.12</f>
        <v>11.088000000000001</v>
      </c>
      <c r="AF10" s="319">
        <f t="shared" si="13"/>
        <v>621767773.40832007</v>
      </c>
      <c r="AG10" s="318">
        <f t="shared" si="14"/>
        <v>94.519040000000018</v>
      </c>
      <c r="AH10" s="324">
        <f>AG10+P10</f>
        <v>291.1216</v>
      </c>
      <c r="AI10" s="320">
        <f t="shared" si="17"/>
        <v>16324858317.379999</v>
      </c>
      <c r="AK10" s="321">
        <f>ROUND('RESUMEN COMPONENTES'!E16/291.1216,2)</f>
        <v>56075737.140000001</v>
      </c>
      <c r="AM10" s="322"/>
    </row>
    <row r="11" spans="1:39" ht="21" customHeight="1" x14ac:dyDescent="0.25">
      <c r="A11" s="317" t="s">
        <v>128</v>
      </c>
      <c r="B11" s="385" t="s">
        <v>417</v>
      </c>
      <c r="C11" s="386"/>
      <c r="D11" s="318"/>
      <c r="E11" s="319"/>
      <c r="F11" s="318"/>
      <c r="G11" s="319"/>
      <c r="H11" s="318"/>
      <c r="I11" s="319"/>
      <c r="J11" s="318"/>
      <c r="K11" s="319"/>
      <c r="L11" s="318"/>
      <c r="M11" s="319"/>
      <c r="N11" s="318"/>
      <c r="O11" s="319"/>
      <c r="P11" s="318">
        <v>1</v>
      </c>
      <c r="Q11" s="318"/>
      <c r="R11" s="319"/>
      <c r="S11" s="318"/>
      <c r="T11" s="319"/>
      <c r="U11" s="318"/>
      <c r="V11" s="319"/>
      <c r="W11" s="318"/>
      <c r="X11" s="319"/>
      <c r="Y11" s="318"/>
      <c r="Z11" s="319"/>
      <c r="AA11" s="318"/>
      <c r="AB11" s="319"/>
      <c r="AC11" s="318"/>
      <c r="AD11" s="319"/>
      <c r="AE11" s="318"/>
      <c r="AF11" s="319"/>
      <c r="AG11" s="318">
        <v>1</v>
      </c>
      <c r="AH11" s="318">
        <f t="shared" si="16"/>
        <v>2</v>
      </c>
      <c r="AI11" s="320">
        <f t="shared" si="17"/>
        <v>3352522807.8800001</v>
      </c>
      <c r="AK11" s="321">
        <f>ROUND('RESUMEN COMPONENTES'!E17/2,2)</f>
        <v>1676261403.9400001</v>
      </c>
      <c r="AM11" s="322"/>
    </row>
    <row r="12" spans="1:39" ht="21" customHeight="1" x14ac:dyDescent="0.25">
      <c r="A12" s="317" t="s">
        <v>343</v>
      </c>
      <c r="B12" s="385" t="s">
        <v>417</v>
      </c>
      <c r="C12" s="386"/>
      <c r="D12" s="318"/>
      <c r="E12" s="319"/>
      <c r="F12" s="318"/>
      <c r="G12" s="319"/>
      <c r="H12" s="318"/>
      <c r="I12" s="319"/>
      <c r="J12" s="318"/>
      <c r="K12" s="319"/>
      <c r="L12" s="318"/>
      <c r="M12" s="319"/>
      <c r="N12" s="318"/>
      <c r="O12" s="319"/>
      <c r="P12" s="318"/>
      <c r="Q12" s="318"/>
      <c r="R12" s="319"/>
      <c r="S12" s="318"/>
      <c r="T12" s="319"/>
      <c r="U12" s="318"/>
      <c r="V12" s="319"/>
      <c r="W12" s="318"/>
      <c r="X12" s="319"/>
      <c r="Y12" s="318"/>
      <c r="Z12" s="319"/>
      <c r="AA12" s="318"/>
      <c r="AB12" s="319"/>
      <c r="AC12" s="318"/>
      <c r="AD12" s="319"/>
      <c r="AE12" s="318"/>
      <c r="AF12" s="319"/>
      <c r="AG12" s="318"/>
      <c r="AH12" s="318">
        <v>2</v>
      </c>
      <c r="AI12" s="320">
        <f t="shared" si="17"/>
        <v>78424521.239999995</v>
      </c>
      <c r="AK12" s="321">
        <f>ROUND('RESUMEN COMPONENTES'!E21/2,2)</f>
        <v>39212260.619999997</v>
      </c>
      <c r="AM12" s="322"/>
    </row>
    <row r="13" spans="1:39" ht="21" customHeight="1" x14ac:dyDescent="0.25">
      <c r="A13" s="317" t="s">
        <v>363</v>
      </c>
      <c r="B13" s="385" t="s">
        <v>417</v>
      </c>
      <c r="C13" s="386"/>
      <c r="D13" s="318"/>
      <c r="E13" s="319"/>
      <c r="F13" s="318"/>
      <c r="G13" s="319"/>
      <c r="H13" s="318"/>
      <c r="I13" s="319"/>
      <c r="J13" s="318"/>
      <c r="K13" s="319"/>
      <c r="L13" s="318"/>
      <c r="M13" s="319"/>
      <c r="N13" s="318"/>
      <c r="O13" s="319"/>
      <c r="P13" s="318">
        <v>0</v>
      </c>
      <c r="Q13" s="318"/>
      <c r="R13" s="319"/>
      <c r="S13" s="318"/>
      <c r="T13" s="319"/>
      <c r="U13" s="318"/>
      <c r="V13" s="319"/>
      <c r="W13" s="318"/>
      <c r="X13" s="319"/>
      <c r="Y13" s="318"/>
      <c r="Z13" s="319"/>
      <c r="AA13" s="318"/>
      <c r="AB13" s="319"/>
      <c r="AC13" s="318"/>
      <c r="AD13" s="319"/>
      <c r="AE13" s="318"/>
      <c r="AF13" s="319"/>
      <c r="AG13" s="318">
        <v>2</v>
      </c>
      <c r="AH13" s="318">
        <f t="shared" si="16"/>
        <v>2</v>
      </c>
      <c r="AI13" s="320">
        <f t="shared" si="17"/>
        <v>3291697319.6999998</v>
      </c>
      <c r="AK13" s="321">
        <f>ROUND('RESUMEN COMPONENTES'!E18/2,2)</f>
        <v>1645848659.8499999</v>
      </c>
      <c r="AM13" s="322"/>
    </row>
    <row r="14" spans="1:39" ht="21" customHeight="1" x14ac:dyDescent="0.25">
      <c r="A14" s="317" t="s">
        <v>248</v>
      </c>
      <c r="B14" s="385" t="s">
        <v>411</v>
      </c>
      <c r="C14" s="386"/>
      <c r="D14" s="318">
        <v>3</v>
      </c>
      <c r="E14" s="319"/>
      <c r="F14" s="318"/>
      <c r="G14" s="319"/>
      <c r="H14" s="318"/>
      <c r="I14" s="319"/>
      <c r="J14" s="318"/>
      <c r="K14" s="319"/>
      <c r="L14" s="318">
        <v>1</v>
      </c>
      <c r="M14" s="319"/>
      <c r="N14" s="318"/>
      <c r="O14" s="319"/>
      <c r="P14" s="318">
        <v>3</v>
      </c>
      <c r="Q14" s="318"/>
      <c r="R14" s="319"/>
      <c r="S14" s="318"/>
      <c r="T14" s="319"/>
      <c r="U14" s="318"/>
      <c r="V14" s="319"/>
      <c r="W14" s="318">
        <v>1</v>
      </c>
      <c r="X14" s="319"/>
      <c r="Y14" s="318"/>
      <c r="Z14" s="319"/>
      <c r="AA14" s="318"/>
      <c r="AB14" s="319"/>
      <c r="AC14" s="318">
        <v>1</v>
      </c>
      <c r="AD14" s="319"/>
      <c r="AE14" s="318"/>
      <c r="AF14" s="319"/>
      <c r="AG14" s="318">
        <v>3</v>
      </c>
      <c r="AH14" s="318">
        <f t="shared" si="16"/>
        <v>6</v>
      </c>
      <c r="AI14" s="320">
        <f t="shared" si="17"/>
        <v>1812038101.3800001</v>
      </c>
      <c r="AK14" s="321">
        <f>ROUND('RESUMEN COMPONENTES'!E19/6,2)</f>
        <v>302006350.23000002</v>
      </c>
      <c r="AM14" s="322"/>
    </row>
    <row r="15" spans="1:39" ht="21" customHeight="1" x14ac:dyDescent="0.25">
      <c r="A15" s="317" t="s">
        <v>291</v>
      </c>
      <c r="B15" s="385" t="s">
        <v>417</v>
      </c>
      <c r="C15" s="386"/>
      <c r="D15" s="318"/>
      <c r="E15" s="319"/>
      <c r="F15" s="318"/>
      <c r="G15" s="319"/>
      <c r="H15" s="318"/>
      <c r="I15" s="319"/>
      <c r="J15" s="318"/>
      <c r="K15" s="319"/>
      <c r="L15" s="318"/>
      <c r="M15" s="319"/>
      <c r="N15" s="318"/>
      <c r="O15" s="319"/>
      <c r="P15" s="318"/>
      <c r="Q15" s="318"/>
      <c r="R15" s="319"/>
      <c r="S15" s="318"/>
      <c r="T15" s="319"/>
      <c r="U15" s="318"/>
      <c r="V15" s="319"/>
      <c r="W15" s="318"/>
      <c r="X15" s="319"/>
      <c r="Y15" s="318"/>
      <c r="Z15" s="319"/>
      <c r="AA15" s="318"/>
      <c r="AB15" s="319"/>
      <c r="AC15" s="318"/>
      <c r="AD15" s="319"/>
      <c r="AE15" s="318"/>
      <c r="AF15" s="319"/>
      <c r="AG15" s="318"/>
      <c r="AH15" s="318">
        <v>1</v>
      </c>
      <c r="AI15" s="320">
        <f t="shared" si="17"/>
        <v>3934077022.5</v>
      </c>
      <c r="AK15" s="321">
        <f>ROUND('RESUMEN COMPONENTES'!E20,2)</f>
        <v>3934077022.5</v>
      </c>
      <c r="AM15" s="322"/>
    </row>
    <row r="16" spans="1:39" ht="9.6" customHeight="1" x14ac:dyDescent="0.4">
      <c r="A16" s="325"/>
      <c r="B16" s="326"/>
      <c r="C16" s="326"/>
      <c r="D16" s="326"/>
      <c r="E16" s="326"/>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7"/>
    </row>
    <row r="17" spans="1:39" ht="21" customHeight="1" x14ac:dyDescent="0.4">
      <c r="A17" s="387" t="s">
        <v>45</v>
      </c>
      <c r="B17" s="388"/>
      <c r="C17" s="389"/>
      <c r="D17" s="328"/>
      <c r="E17" s="319">
        <f>SUM(E4:E15)</f>
        <v>16466883151.898781</v>
      </c>
      <c r="F17" s="328"/>
      <c r="G17" s="319">
        <f>SUM(G4:G15)</f>
        <v>625300243.17045438</v>
      </c>
      <c r="H17" s="319"/>
      <c r="I17" s="319">
        <f>SUM(I4:I15)</f>
        <v>2233376994.9113441</v>
      </c>
      <c r="J17" s="319"/>
      <c r="K17" s="319">
        <f>SUM(K4:K15)</f>
        <v>1396382003.3704801</v>
      </c>
      <c r="L17" s="319"/>
      <c r="M17" s="319">
        <f>SUM(M4:M15)</f>
        <v>1237422287.618</v>
      </c>
      <c r="N17" s="319"/>
      <c r="O17" s="319">
        <f>SUM(O4:O15)</f>
        <v>5112369806.6520233</v>
      </c>
      <c r="P17" s="319"/>
      <c r="Q17" s="319"/>
      <c r="R17" s="319">
        <f>SUM(R4:R15)</f>
        <v>1165785893.3545761</v>
      </c>
      <c r="S17" s="319"/>
      <c r="T17" s="319">
        <f>SUM(T4:T15)</f>
        <v>1551973451.843904</v>
      </c>
      <c r="U17" s="319"/>
      <c r="V17" s="319">
        <f>SUM(V4:V15)</f>
        <v>1094492816.2779999</v>
      </c>
      <c r="W17" s="319"/>
      <c r="X17" s="319">
        <f>SUM(X4:X15)</f>
        <v>1015129795.6497921</v>
      </c>
      <c r="Y17" s="319"/>
      <c r="Z17" s="319">
        <f>SUM(Z4:Z15)</f>
        <v>1191111235.6830082</v>
      </c>
      <c r="AA17" s="319"/>
      <c r="AB17" s="319">
        <f>SUM(AB4:AB15)</f>
        <v>4007725121.4500003</v>
      </c>
      <c r="AC17" s="319"/>
      <c r="AD17" s="319">
        <f>SUM(AD4:AD15)</f>
        <v>2168640424.8275456</v>
      </c>
      <c r="AE17" s="319"/>
      <c r="AF17" s="319">
        <f>SUM(AF4:AF15)</f>
        <v>1263315780.5083201</v>
      </c>
      <c r="AG17" s="329"/>
      <c r="AH17" s="329"/>
      <c r="AI17" s="330">
        <f>SUM(AI4:AI15)</f>
        <v>52998668779.919991</v>
      </c>
      <c r="AK17" s="321">
        <f>SUM(E17:AF17)</f>
        <v>40529909007.216225</v>
      </c>
      <c r="AM17" s="322"/>
    </row>
    <row r="18" spans="1:39" ht="21" customHeight="1" x14ac:dyDescent="0.4">
      <c r="A18" s="387" t="s">
        <v>418</v>
      </c>
      <c r="B18" s="389"/>
      <c r="C18" s="331">
        <v>0.22</v>
      </c>
      <c r="D18" s="328"/>
      <c r="E18" s="319">
        <f>E17*$C$18</f>
        <v>3622714293.4177318</v>
      </c>
      <c r="F18" s="328"/>
      <c r="G18" s="319">
        <f>G17*$C$18</f>
        <v>137566053.49749997</v>
      </c>
      <c r="H18" s="319"/>
      <c r="I18" s="319">
        <f>I17*$C$18</f>
        <v>491342938.88049567</v>
      </c>
      <c r="J18" s="319"/>
      <c r="K18" s="319">
        <f>K17*$C$18</f>
        <v>307204040.74150562</v>
      </c>
      <c r="L18" s="319"/>
      <c r="M18" s="319">
        <f>M17*$C$18</f>
        <v>272232903.27596003</v>
      </c>
      <c r="N18" s="319"/>
      <c r="O18" s="319">
        <f>O17*$C$18</f>
        <v>1124721357.4634452</v>
      </c>
      <c r="P18" s="319"/>
      <c r="Q18" s="319"/>
      <c r="R18" s="319">
        <f>R17*$C$18</f>
        <v>256472896.53800675</v>
      </c>
      <c r="S18" s="319"/>
      <c r="T18" s="319">
        <f>T17*$C$18</f>
        <v>341434159.4056589</v>
      </c>
      <c r="U18" s="319"/>
      <c r="V18" s="319">
        <f>V17*$C$18</f>
        <v>240788419.58115998</v>
      </c>
      <c r="W18" s="319"/>
      <c r="X18" s="319">
        <f>X17*$C$18</f>
        <v>223328555.04295427</v>
      </c>
      <c r="Y18" s="319"/>
      <c r="Z18" s="319">
        <f>Z17*$C$18</f>
        <v>262044471.85026181</v>
      </c>
      <c r="AA18" s="319"/>
      <c r="AB18" s="319">
        <f>AB17*$C$18</f>
        <v>881699526.7190001</v>
      </c>
      <c r="AC18" s="319"/>
      <c r="AD18" s="319">
        <f>AD17*$C$18</f>
        <v>477100893.46206003</v>
      </c>
      <c r="AE18" s="319"/>
      <c r="AF18" s="319">
        <f>AF17*$C$18</f>
        <v>277929471.71183044</v>
      </c>
      <c r="AG18" s="329"/>
      <c r="AH18" s="332"/>
      <c r="AI18" s="320">
        <f>$AI$17*C18</f>
        <v>11659707131.582397</v>
      </c>
    </row>
    <row r="19" spans="1:39" ht="21" customHeight="1" x14ac:dyDescent="0.4">
      <c r="A19" s="387" t="s">
        <v>419</v>
      </c>
      <c r="B19" s="389"/>
      <c r="C19" s="331">
        <v>0.04</v>
      </c>
      <c r="D19" s="328"/>
      <c r="E19" s="319">
        <f>E17*$C$19</f>
        <v>658675326.07595122</v>
      </c>
      <c r="F19" s="328"/>
      <c r="G19" s="319">
        <f>G17*$C$19</f>
        <v>25012009.726818174</v>
      </c>
      <c r="H19" s="319"/>
      <c r="I19" s="319">
        <f>I17*$C$19</f>
        <v>89335079.796453759</v>
      </c>
      <c r="J19" s="319"/>
      <c r="K19" s="319">
        <f>K17*$C$19</f>
        <v>55855280.134819202</v>
      </c>
      <c r="L19" s="319"/>
      <c r="M19" s="319">
        <f>M17*$C$19</f>
        <v>49496891.504720002</v>
      </c>
      <c r="N19" s="319"/>
      <c r="O19" s="319">
        <f>O17*$C$19</f>
        <v>204494792.26608095</v>
      </c>
      <c r="P19" s="319"/>
      <c r="Q19" s="319"/>
      <c r="R19" s="319">
        <f>R17*$C$19</f>
        <v>46631435.734183043</v>
      </c>
      <c r="S19" s="319"/>
      <c r="T19" s="319">
        <f>T17*$C$19</f>
        <v>62078938.073756158</v>
      </c>
      <c r="U19" s="319"/>
      <c r="V19" s="319">
        <f>V17*$C$19</f>
        <v>43779712.65112</v>
      </c>
      <c r="W19" s="319"/>
      <c r="X19" s="319">
        <f>X17*$C$19</f>
        <v>40605191.825991683</v>
      </c>
      <c r="Y19" s="319"/>
      <c r="Z19" s="319">
        <f>Z17*$C$19</f>
        <v>47644449.427320331</v>
      </c>
      <c r="AA19" s="319"/>
      <c r="AB19" s="319">
        <f>AB17*$C$19</f>
        <v>160309004.85800001</v>
      </c>
      <c r="AC19" s="319"/>
      <c r="AD19" s="319">
        <f>AD17*$C$19</f>
        <v>86745616.99310182</v>
      </c>
      <c r="AE19" s="319"/>
      <c r="AF19" s="319">
        <f>AF17*$C$19</f>
        <v>50532631.220332801</v>
      </c>
      <c r="AG19" s="329"/>
      <c r="AH19" s="332"/>
      <c r="AI19" s="320">
        <f>$AI$17*C19</f>
        <v>2119946751.1967998</v>
      </c>
    </row>
    <row r="20" spans="1:39" ht="21" customHeight="1" x14ac:dyDescent="0.4">
      <c r="A20" s="387" t="s">
        <v>420</v>
      </c>
      <c r="B20" s="389"/>
      <c r="C20" s="331">
        <v>0.04</v>
      </c>
      <c r="D20" s="328"/>
      <c r="E20" s="319">
        <f>E17*$C$20</f>
        <v>658675326.07595122</v>
      </c>
      <c r="F20" s="328"/>
      <c r="G20" s="319">
        <f>G17*$C$20</f>
        <v>25012009.726818174</v>
      </c>
      <c r="H20" s="319"/>
      <c r="I20" s="319">
        <f>I17*$C$20</f>
        <v>89335079.796453759</v>
      </c>
      <c r="J20" s="319"/>
      <c r="K20" s="319">
        <f>K17*$C$20</f>
        <v>55855280.134819202</v>
      </c>
      <c r="L20" s="319"/>
      <c r="M20" s="319">
        <f>M17*$C$20</f>
        <v>49496891.504720002</v>
      </c>
      <c r="N20" s="319"/>
      <c r="O20" s="319">
        <f>O17*$C$20</f>
        <v>204494792.26608095</v>
      </c>
      <c r="P20" s="319"/>
      <c r="Q20" s="319"/>
      <c r="R20" s="319">
        <f>R17*$C$20</f>
        <v>46631435.734183043</v>
      </c>
      <c r="S20" s="319"/>
      <c r="T20" s="319">
        <f>T17*$C$20</f>
        <v>62078938.073756158</v>
      </c>
      <c r="U20" s="319"/>
      <c r="V20" s="319">
        <f>V17*$C$20</f>
        <v>43779712.65112</v>
      </c>
      <c r="W20" s="319"/>
      <c r="X20" s="319">
        <f>X17*$C$20</f>
        <v>40605191.825991683</v>
      </c>
      <c r="Y20" s="319"/>
      <c r="Z20" s="319">
        <f>Z17*$C$20</f>
        <v>47644449.427320331</v>
      </c>
      <c r="AA20" s="319"/>
      <c r="AB20" s="319">
        <f>AB17*$C$20</f>
        <v>160309004.85800001</v>
      </c>
      <c r="AC20" s="319"/>
      <c r="AD20" s="319">
        <f>AD17*$C$20</f>
        <v>86745616.99310182</v>
      </c>
      <c r="AE20" s="319"/>
      <c r="AF20" s="319">
        <f>AF17*$C$20</f>
        <v>50532631.220332801</v>
      </c>
      <c r="AG20" s="329"/>
      <c r="AH20" s="332"/>
      <c r="AI20" s="320">
        <f>$AI$17*C20</f>
        <v>2119946751.1967998</v>
      </c>
    </row>
    <row r="21" spans="1:39" ht="21" customHeight="1" x14ac:dyDescent="0.4">
      <c r="A21" s="387" t="s">
        <v>421</v>
      </c>
      <c r="B21" s="388"/>
      <c r="C21" s="389"/>
      <c r="D21" s="328"/>
      <c r="E21" s="319">
        <f>E17+E18+E19+E20</f>
        <v>21406948097.468414</v>
      </c>
      <c r="F21" s="328"/>
      <c r="G21" s="319">
        <f>G17+G18+G19+G20</f>
        <v>812890316.12159073</v>
      </c>
      <c r="H21" s="319"/>
      <c r="I21" s="319">
        <f>I17+I18+I19+I20</f>
        <v>2903390093.3847475</v>
      </c>
      <c r="J21" s="319"/>
      <c r="K21" s="319">
        <f>K17+K18+K19+K20</f>
        <v>1815296604.3816242</v>
      </c>
      <c r="L21" s="319"/>
      <c r="M21" s="319">
        <f>M17+M18+M19+M20</f>
        <v>1608648973.9033999</v>
      </c>
      <c r="N21" s="319"/>
      <c r="O21" s="319">
        <f>O17+O18+O19+O20</f>
        <v>6646080748.6476307</v>
      </c>
      <c r="P21" s="319"/>
      <c r="Q21" s="319"/>
      <c r="R21" s="319">
        <f>R17+R18+R19+R20</f>
        <v>1515521661.360949</v>
      </c>
      <c r="S21" s="319"/>
      <c r="T21" s="319">
        <f>T17+T18+T19+T20</f>
        <v>2017565487.3970754</v>
      </c>
      <c r="U21" s="319"/>
      <c r="V21" s="319">
        <f>V17+V18+V19+V20</f>
        <v>1422840661.1613998</v>
      </c>
      <c r="W21" s="319"/>
      <c r="X21" s="319">
        <f>X17+X18+X19+X20</f>
        <v>1319668734.3447297</v>
      </c>
      <c r="Y21" s="319"/>
      <c r="Z21" s="319">
        <f>Z17+Z18+Z19+Z20</f>
        <v>1548444606.3879104</v>
      </c>
      <c r="AA21" s="319"/>
      <c r="AB21" s="319">
        <f>AB17+AB18+AB19+AB20</f>
        <v>5210042657.8850002</v>
      </c>
      <c r="AC21" s="319"/>
      <c r="AD21" s="319">
        <f>AD17+AD18+AD19+AD20</f>
        <v>2819232552.2758088</v>
      </c>
      <c r="AE21" s="319"/>
      <c r="AF21" s="319">
        <f>AF17+AF18+AF19+AF20</f>
        <v>1642310514.6608162</v>
      </c>
      <c r="AG21" s="329"/>
      <c r="AH21" s="332"/>
      <c r="AI21" s="320">
        <f>SUM(AI17:AI20)</f>
        <v>68898269413.895981</v>
      </c>
    </row>
    <row r="22" spans="1:39" ht="21" customHeight="1" x14ac:dyDescent="0.4">
      <c r="A22" s="387" t="s">
        <v>422</v>
      </c>
      <c r="B22" s="389"/>
      <c r="C22" s="331">
        <v>0.19</v>
      </c>
      <c r="D22" s="328"/>
      <c r="E22" s="319">
        <f>E20*$C$22</f>
        <v>125148311.95443073</v>
      </c>
      <c r="F22" s="328"/>
      <c r="G22" s="319">
        <f>G20*$C$22</f>
        <v>4752281.8480954533</v>
      </c>
      <c r="H22" s="319"/>
      <c r="I22" s="319">
        <f>I20*$C$22</f>
        <v>16973665.161326215</v>
      </c>
      <c r="J22" s="319"/>
      <c r="K22" s="319">
        <f>K20*$C$22</f>
        <v>10612503.225615649</v>
      </c>
      <c r="L22" s="319"/>
      <c r="M22" s="319">
        <f>M20*$C$22</f>
        <v>9404409.3858968001</v>
      </c>
      <c r="N22" s="319"/>
      <c r="O22" s="319">
        <f>O20*$C$22</f>
        <v>38854010.530555382</v>
      </c>
      <c r="P22" s="319"/>
      <c r="Q22" s="319"/>
      <c r="R22" s="319">
        <f>R20*$C$22</f>
        <v>8859972.789494779</v>
      </c>
      <c r="S22" s="319"/>
      <c r="T22" s="319">
        <f>T20*$C$22</f>
        <v>11794998.234013671</v>
      </c>
      <c r="U22" s="319"/>
      <c r="V22" s="319">
        <f>V20*$C$22</f>
        <v>8318145.4037127998</v>
      </c>
      <c r="W22" s="319"/>
      <c r="X22" s="319">
        <f>X20*$C$22</f>
        <v>7714986.4469384197</v>
      </c>
      <c r="Y22" s="319"/>
      <c r="Z22" s="319">
        <f>Z20*$C$22</f>
        <v>9052445.3911908623</v>
      </c>
      <c r="AA22" s="319"/>
      <c r="AB22" s="319">
        <f>AB20*$C$22</f>
        <v>30458710.923020002</v>
      </c>
      <c r="AC22" s="319"/>
      <c r="AD22" s="319">
        <f>AD20*$C$22</f>
        <v>16481667.228689346</v>
      </c>
      <c r="AE22" s="319"/>
      <c r="AF22" s="319">
        <f>AF20*$C$22</f>
        <v>9601199.9318632316</v>
      </c>
      <c r="AG22" s="329"/>
      <c r="AH22" s="332"/>
      <c r="AI22" s="320">
        <f>C22*AI20</f>
        <v>402789882.72739196</v>
      </c>
    </row>
    <row r="23" spans="1:39" ht="12.6" customHeight="1" x14ac:dyDescent="0.25">
      <c r="A23" s="393"/>
      <c r="B23" s="394"/>
      <c r="C23" s="394"/>
      <c r="D23" s="394"/>
      <c r="E23" s="394"/>
      <c r="F23" s="394"/>
      <c r="G23" s="394"/>
      <c r="H23" s="394"/>
      <c r="I23" s="394"/>
      <c r="J23" s="394"/>
      <c r="K23" s="394"/>
      <c r="L23" s="394"/>
      <c r="M23" s="394"/>
      <c r="N23" s="394"/>
      <c r="O23" s="394"/>
      <c r="P23" s="394"/>
      <c r="Q23" s="394"/>
      <c r="R23" s="394"/>
      <c r="S23" s="394"/>
      <c r="T23" s="394"/>
      <c r="U23" s="394"/>
      <c r="V23" s="394"/>
      <c r="W23" s="394"/>
      <c r="X23" s="394"/>
      <c r="Y23" s="394"/>
      <c r="Z23" s="394"/>
      <c r="AA23" s="394"/>
      <c r="AB23" s="394"/>
      <c r="AC23" s="394"/>
      <c r="AD23" s="394"/>
      <c r="AE23" s="394"/>
      <c r="AF23" s="394"/>
      <c r="AG23" s="333"/>
      <c r="AH23" s="333"/>
      <c r="AI23" s="334"/>
    </row>
    <row r="24" spans="1:39" ht="24" x14ac:dyDescent="0.4">
      <c r="A24" s="390" t="s">
        <v>9</v>
      </c>
      <c r="B24" s="391"/>
      <c r="C24" s="392"/>
      <c r="D24" s="329"/>
      <c r="E24" s="335">
        <f>E22+E21</f>
        <v>21532096409.422844</v>
      </c>
      <c r="F24" s="335"/>
      <c r="G24" s="335">
        <f>G22+G21</f>
        <v>817642597.96968615</v>
      </c>
      <c r="H24" s="335"/>
      <c r="I24" s="335">
        <f>I22+I21</f>
        <v>2920363758.5460739</v>
      </c>
      <c r="J24" s="335"/>
      <c r="K24" s="335">
        <f>K22+K21</f>
        <v>1825909107.60724</v>
      </c>
      <c r="L24" s="335"/>
      <c r="M24" s="335">
        <f>M22+M21</f>
        <v>1618053383.2892966</v>
      </c>
      <c r="N24" s="335"/>
      <c r="O24" s="335">
        <f>O22+O21</f>
        <v>6684934759.1781864</v>
      </c>
      <c r="P24" s="335"/>
      <c r="Q24" s="335"/>
      <c r="R24" s="335">
        <f>R22+R21</f>
        <v>1524381634.1504438</v>
      </c>
      <c r="S24" s="335"/>
      <c r="T24" s="335">
        <f>T22+T21</f>
        <v>2029360485.631089</v>
      </c>
      <c r="U24" s="335"/>
      <c r="V24" s="335">
        <f>V22+V21</f>
        <v>1431158806.5651126</v>
      </c>
      <c r="W24" s="335"/>
      <c r="X24" s="335">
        <f>X22+X21</f>
        <v>1327383720.7916682</v>
      </c>
      <c r="Y24" s="335"/>
      <c r="Z24" s="335">
        <f>Z22+Z21</f>
        <v>1557497051.7791011</v>
      </c>
      <c r="AA24" s="335"/>
      <c r="AB24" s="335">
        <f>AB22+AB21</f>
        <v>5240501368.8080206</v>
      </c>
      <c r="AC24" s="335"/>
      <c r="AD24" s="335">
        <f>AD22+AD21</f>
        <v>2835714219.504498</v>
      </c>
      <c r="AE24" s="335"/>
      <c r="AF24" s="335">
        <f>AF22+AF21</f>
        <v>1651911714.5926795</v>
      </c>
      <c r="AG24" s="329"/>
      <c r="AH24" s="329"/>
      <c r="AI24" s="336">
        <f>AI22+AI21</f>
        <v>69301059296.623367</v>
      </c>
      <c r="AK24" s="322">
        <f>AI4+AI5+AI6+AI7+AI8+AI9+AI10</f>
        <v>40529909007.220001</v>
      </c>
    </row>
    <row r="25" spans="1:39" x14ac:dyDescent="0.25">
      <c r="AK25" s="322">
        <f>SUM(E17:AF17)</f>
        <v>40529909007.216225</v>
      </c>
    </row>
    <row r="27" spans="1:39" x14ac:dyDescent="0.25">
      <c r="AF27" s="322"/>
    </row>
    <row r="28" spans="1:39" x14ac:dyDescent="0.25">
      <c r="AF28" s="322"/>
      <c r="AI28" s="322"/>
      <c r="AK28" s="322"/>
    </row>
    <row r="29" spans="1:39" x14ac:dyDescent="0.25">
      <c r="AI29" s="322"/>
    </row>
    <row r="30" spans="1:39" x14ac:dyDescent="0.25">
      <c r="AI30" s="322"/>
      <c r="AK30" s="322"/>
    </row>
    <row r="31" spans="1:39" x14ac:dyDescent="0.25">
      <c r="AH31" s="337"/>
      <c r="AI31" s="322"/>
    </row>
    <row r="32" spans="1:39" x14ac:dyDescent="0.25">
      <c r="AI32" s="322"/>
      <c r="AK32" s="322"/>
    </row>
    <row r="33" spans="35:37" x14ac:dyDescent="0.25">
      <c r="AI33" s="322"/>
    </row>
    <row r="34" spans="35:37" x14ac:dyDescent="0.25">
      <c r="AI34" s="322"/>
    </row>
    <row r="35" spans="35:37" x14ac:dyDescent="0.25">
      <c r="AI35" s="322"/>
      <c r="AK35" s="322"/>
    </row>
    <row r="37" spans="35:37" x14ac:dyDescent="0.25">
      <c r="AI37" s="322"/>
    </row>
  </sheetData>
  <mergeCells count="38">
    <mergeCell ref="A24:C24"/>
    <mergeCell ref="B12:C12"/>
    <mergeCell ref="B15:C15"/>
    <mergeCell ref="A18:B18"/>
    <mergeCell ref="A19:B19"/>
    <mergeCell ref="A20:B20"/>
    <mergeCell ref="A21:C21"/>
    <mergeCell ref="A22:B22"/>
    <mergeCell ref="A23:AF23"/>
    <mergeCell ref="B10:C10"/>
    <mergeCell ref="B11:C11"/>
    <mergeCell ref="B13:C13"/>
    <mergeCell ref="B14:C14"/>
    <mergeCell ref="A17:C17"/>
    <mergeCell ref="B9:C9"/>
    <mergeCell ref="Y2:Z2"/>
    <mergeCell ref="AA2:AB2"/>
    <mergeCell ref="AC2:AD2"/>
    <mergeCell ref="AE2:AF2"/>
    <mergeCell ref="J2:K2"/>
    <mergeCell ref="B4:C4"/>
    <mergeCell ref="B5:C5"/>
    <mergeCell ref="B6:C6"/>
    <mergeCell ref="B7:C7"/>
    <mergeCell ref="B8:C8"/>
    <mergeCell ref="AH2:AH3"/>
    <mergeCell ref="AI2:AI3"/>
    <mergeCell ref="L2:M2"/>
    <mergeCell ref="N2:O2"/>
    <mergeCell ref="Q2:R2"/>
    <mergeCell ref="S2:T2"/>
    <mergeCell ref="U2:V2"/>
    <mergeCell ref="W2:X2"/>
    <mergeCell ref="A2:A3"/>
    <mergeCell ref="B2:C3"/>
    <mergeCell ref="D2:E2"/>
    <mergeCell ref="F2:G2"/>
    <mergeCell ref="H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3569-D6BA-4E9D-9774-29BA5E98383A}">
  <sheetPr>
    <tabColor rgb="FF92D050"/>
  </sheetPr>
  <dimension ref="B2:J51"/>
  <sheetViews>
    <sheetView workbookViewId="0"/>
  </sheetViews>
  <sheetFormatPr baseColWidth="10" defaultColWidth="12.625" defaultRowHeight="13.5" x14ac:dyDescent="0.25"/>
  <cols>
    <col min="1" max="1" width="3.875" style="197" customWidth="1"/>
    <col min="2" max="2" width="6.125" style="196" customWidth="1"/>
    <col min="3" max="3" width="60.625" style="197" customWidth="1"/>
    <col min="4" max="4" width="9.625" style="197" customWidth="1"/>
    <col min="5" max="5" width="9.625" style="198" customWidth="1"/>
    <col min="6" max="7" width="11.625" style="312" customWidth="1"/>
    <col min="8" max="10" width="11.625" style="198" customWidth="1"/>
    <col min="11" max="16384" width="12.625" style="197"/>
  </cols>
  <sheetData>
    <row r="2" spans="2:10" s="200" customFormat="1" ht="15.75" x14ac:dyDescent="0.25">
      <c r="B2" s="199" t="s">
        <v>0</v>
      </c>
      <c r="D2" s="250"/>
      <c r="E2" s="201"/>
      <c r="F2" s="202"/>
      <c r="G2" s="202"/>
      <c r="H2" s="201"/>
      <c r="I2" s="201"/>
      <c r="J2" s="201"/>
    </row>
    <row r="3" spans="2:10" s="200" customFormat="1" ht="15.75" x14ac:dyDescent="0.25">
      <c r="B3" s="199" t="s">
        <v>1</v>
      </c>
      <c r="C3" s="202"/>
      <c r="D3" s="251" t="s">
        <v>2</v>
      </c>
      <c r="E3" s="201"/>
      <c r="F3" s="202"/>
      <c r="G3" s="202"/>
      <c r="H3" s="252"/>
      <c r="I3" s="201"/>
      <c r="J3" s="201"/>
    </row>
    <row r="4" spans="2:10" s="200" customFormat="1" ht="15.75" x14ac:dyDescent="0.25">
      <c r="B4" s="199" t="s">
        <v>361</v>
      </c>
      <c r="D4" s="250"/>
      <c r="E4" s="201"/>
      <c r="F4" s="202"/>
      <c r="G4" s="202"/>
      <c r="H4" s="201"/>
      <c r="I4" s="201"/>
      <c r="J4" s="201"/>
    </row>
    <row r="5" spans="2:10" s="200" customFormat="1" ht="15.75" x14ac:dyDescent="0.25">
      <c r="B5" s="203"/>
      <c r="E5" s="201"/>
      <c r="F5" s="202"/>
      <c r="G5" s="202"/>
      <c r="H5" s="201"/>
      <c r="I5" s="201"/>
      <c r="J5" s="201"/>
    </row>
    <row r="6" spans="2:10" s="200" customFormat="1" ht="15.75" x14ac:dyDescent="0.25">
      <c r="B6" s="203"/>
      <c r="E6" s="201"/>
      <c r="F6" s="202"/>
      <c r="G6" s="202"/>
      <c r="H6" s="201"/>
      <c r="I6" s="201"/>
      <c r="J6" s="201"/>
    </row>
    <row r="7" spans="2:10" s="200" customFormat="1" ht="16.5" thickBot="1" x14ac:dyDescent="0.3">
      <c r="B7" s="203"/>
      <c r="E7" s="201"/>
      <c r="F7" s="253"/>
      <c r="G7" s="202"/>
      <c r="H7" s="254"/>
      <c r="I7" s="201"/>
      <c r="J7" s="201"/>
    </row>
    <row r="8" spans="2:10" s="209" customFormat="1" ht="55.5" customHeight="1" x14ac:dyDescent="0.25">
      <c r="B8" s="255" t="s">
        <v>3</v>
      </c>
      <c r="C8" s="256" t="s">
        <v>4</v>
      </c>
      <c r="D8" s="256" t="s">
        <v>5</v>
      </c>
      <c r="E8" s="256" t="s">
        <v>6</v>
      </c>
      <c r="F8" s="395" t="s">
        <v>7</v>
      </c>
      <c r="G8" s="395"/>
      <c r="H8" s="395" t="s">
        <v>8</v>
      </c>
      <c r="I8" s="395"/>
      <c r="J8" s="257" t="s">
        <v>9</v>
      </c>
    </row>
    <row r="9" spans="2:10" s="210" customFormat="1" ht="27.75" customHeight="1" x14ac:dyDescent="0.25">
      <c r="B9" s="396">
        <v>1</v>
      </c>
      <c r="C9" s="398" t="s">
        <v>10</v>
      </c>
      <c r="D9" s="258"/>
      <c r="E9" s="259"/>
      <c r="F9" s="260" t="s">
        <v>11</v>
      </c>
      <c r="G9" s="260" t="s">
        <v>12</v>
      </c>
      <c r="H9" s="260" t="s">
        <v>11</v>
      </c>
      <c r="I9" s="260" t="s">
        <v>13</v>
      </c>
      <c r="J9" s="261" t="s">
        <v>14</v>
      </c>
    </row>
    <row r="10" spans="2:10" s="210" customFormat="1" ht="27.75" customHeight="1" x14ac:dyDescent="0.25">
      <c r="B10" s="397"/>
      <c r="C10" s="399"/>
      <c r="D10" s="262"/>
      <c r="E10" s="263" t="s">
        <v>14</v>
      </c>
      <c r="F10" s="264" t="s">
        <v>15</v>
      </c>
      <c r="G10" s="264" t="s">
        <v>15</v>
      </c>
      <c r="H10" s="264" t="s">
        <v>15</v>
      </c>
      <c r="I10" s="264" t="s">
        <v>15</v>
      </c>
      <c r="J10" s="265" t="s">
        <v>15</v>
      </c>
    </row>
    <row r="11" spans="2:10" ht="27" x14ac:dyDescent="0.25">
      <c r="B11" s="266">
        <f>B9+0.01</f>
        <v>1.01</v>
      </c>
      <c r="C11" s="267" t="s">
        <v>16</v>
      </c>
      <c r="D11" s="268" t="s">
        <v>17</v>
      </c>
      <c r="E11" s="269">
        <v>88</v>
      </c>
      <c r="F11" s="270">
        <v>2504818.8421270004</v>
      </c>
      <c r="G11" s="270">
        <f>E11*F11</f>
        <v>220424058.10717604</v>
      </c>
      <c r="H11" s="271">
        <v>5783685.6000000006</v>
      </c>
      <c r="I11" s="270">
        <f>E11*H11</f>
        <v>508964332.80000007</v>
      </c>
      <c r="J11" s="224">
        <f>G11+I11</f>
        <v>729388390.90717614</v>
      </c>
    </row>
    <row r="12" spans="2:10" x14ac:dyDescent="0.25">
      <c r="B12" s="266">
        <f>B11+0.01</f>
        <v>1.02</v>
      </c>
      <c r="C12" s="267" t="s">
        <v>18</v>
      </c>
      <c r="D12" s="268" t="s">
        <v>17</v>
      </c>
      <c r="E12" s="269">
        <v>88</v>
      </c>
      <c r="F12" s="270"/>
      <c r="G12" s="270">
        <f t="shared" ref="G12:G37" si="0">E12*F12</f>
        <v>0</v>
      </c>
      <c r="H12" s="271"/>
      <c r="I12" s="270">
        <f t="shared" ref="I12:I37" si="1">E12*H12</f>
        <v>0</v>
      </c>
      <c r="J12" s="224">
        <f t="shared" ref="J12:J37" si="2">G12+I12</f>
        <v>0</v>
      </c>
    </row>
    <row r="13" spans="2:10" x14ac:dyDescent="0.25">
      <c r="B13" s="266">
        <f t="shared" ref="B13:B38" si="3">B12+0.01</f>
        <v>1.03</v>
      </c>
      <c r="C13" s="267" t="s">
        <v>19</v>
      </c>
      <c r="D13" s="268" t="s">
        <v>17</v>
      </c>
      <c r="E13" s="269">
        <v>88</v>
      </c>
      <c r="F13" s="270">
        <v>8904763.8580000009</v>
      </c>
      <c r="G13" s="270">
        <f t="shared" si="0"/>
        <v>783619219.50400007</v>
      </c>
      <c r="H13" s="271">
        <v>7776312.4640000006</v>
      </c>
      <c r="I13" s="270">
        <f t="shared" si="1"/>
        <v>684315496.83200002</v>
      </c>
      <c r="J13" s="224">
        <f t="shared" si="2"/>
        <v>1467934716.336</v>
      </c>
    </row>
    <row r="14" spans="2:10" x14ac:dyDescent="0.25">
      <c r="B14" s="266">
        <f t="shared" si="3"/>
        <v>1.04</v>
      </c>
      <c r="C14" s="267" t="s">
        <v>20</v>
      </c>
      <c r="D14" s="268" t="s">
        <v>17</v>
      </c>
      <c r="E14" s="269">
        <v>88</v>
      </c>
      <c r="F14" s="270">
        <v>737969.81200000003</v>
      </c>
      <c r="G14" s="270">
        <f t="shared" si="0"/>
        <v>64941343.456</v>
      </c>
      <c r="H14" s="271">
        <v>225338.40000000002</v>
      </c>
      <c r="I14" s="270">
        <f t="shared" si="1"/>
        <v>19829779.200000003</v>
      </c>
      <c r="J14" s="224">
        <f t="shared" si="2"/>
        <v>84771122.656000003</v>
      </c>
    </row>
    <row r="15" spans="2:10" x14ac:dyDescent="0.25">
      <c r="B15" s="266">
        <f t="shared" si="3"/>
        <v>1.05</v>
      </c>
      <c r="C15" s="267" t="s">
        <v>21</v>
      </c>
      <c r="D15" s="268" t="s">
        <v>17</v>
      </c>
      <c r="E15" s="269">
        <v>176</v>
      </c>
      <c r="F15" s="270">
        <v>1191045.6160000002</v>
      </c>
      <c r="G15" s="270">
        <f t="shared" si="0"/>
        <v>209624028.41600004</v>
      </c>
      <c r="H15" s="271">
        <v>258200.77600000001</v>
      </c>
      <c r="I15" s="270">
        <f t="shared" si="1"/>
        <v>45443336.576000005</v>
      </c>
      <c r="J15" s="224">
        <f t="shared" si="2"/>
        <v>255067364.99200004</v>
      </c>
    </row>
    <row r="16" spans="2:10" ht="27" x14ac:dyDescent="0.25">
      <c r="B16" s="266">
        <f t="shared" si="3"/>
        <v>1.06</v>
      </c>
      <c r="C16" s="272" t="s">
        <v>22</v>
      </c>
      <c r="D16" s="268" t="s">
        <v>17</v>
      </c>
      <c r="E16" s="269">
        <v>88</v>
      </c>
      <c r="F16" s="270">
        <v>319476.85399999999</v>
      </c>
      <c r="G16" s="270">
        <f t="shared" si="0"/>
        <v>28113963.151999999</v>
      </c>
      <c r="H16" s="271">
        <v>688534</v>
      </c>
      <c r="I16" s="270">
        <f t="shared" si="1"/>
        <v>60590992</v>
      </c>
      <c r="J16" s="224">
        <f t="shared" si="2"/>
        <v>88704955.151999995</v>
      </c>
    </row>
    <row r="17" spans="2:10" x14ac:dyDescent="0.25">
      <c r="B17" s="266">
        <f t="shared" si="3"/>
        <v>1.07</v>
      </c>
      <c r="C17" s="267" t="s">
        <v>23</v>
      </c>
      <c r="D17" s="268" t="s">
        <v>17</v>
      </c>
      <c r="E17" s="269">
        <v>88</v>
      </c>
      <c r="F17" s="270"/>
      <c r="G17" s="270">
        <f t="shared" si="0"/>
        <v>0</v>
      </c>
      <c r="H17" s="271"/>
      <c r="I17" s="270">
        <f t="shared" si="1"/>
        <v>0</v>
      </c>
      <c r="J17" s="224">
        <f t="shared" si="2"/>
        <v>0</v>
      </c>
    </row>
    <row r="18" spans="2:10" x14ac:dyDescent="0.25">
      <c r="B18" s="266">
        <f t="shared" si="3"/>
        <v>1.08</v>
      </c>
      <c r="C18" s="273" t="s">
        <v>24</v>
      </c>
      <c r="D18" s="268" t="s">
        <v>17</v>
      </c>
      <c r="E18" s="269">
        <v>88</v>
      </c>
      <c r="F18" s="270">
        <v>12770505.418000001</v>
      </c>
      <c r="G18" s="270">
        <f t="shared" si="0"/>
        <v>1123804476.7840002</v>
      </c>
      <c r="H18" s="271">
        <v>273849.27600000001</v>
      </c>
      <c r="I18" s="270">
        <f t="shared" si="1"/>
        <v>24098736.288000003</v>
      </c>
      <c r="J18" s="224">
        <f t="shared" si="2"/>
        <v>1147903213.0720003</v>
      </c>
    </row>
    <row r="19" spans="2:10" x14ac:dyDescent="0.25">
      <c r="B19" s="266">
        <f t="shared" si="3"/>
        <v>1.0900000000000001</v>
      </c>
      <c r="C19" s="273" t="s">
        <v>25</v>
      </c>
      <c r="D19" s="268" t="s">
        <v>17</v>
      </c>
      <c r="E19" s="269">
        <v>88</v>
      </c>
      <c r="F19" s="270"/>
      <c r="G19" s="270">
        <f t="shared" si="0"/>
        <v>0</v>
      </c>
      <c r="H19" s="271"/>
      <c r="I19" s="270">
        <f t="shared" si="1"/>
        <v>0</v>
      </c>
      <c r="J19" s="224">
        <f t="shared" si="2"/>
        <v>0</v>
      </c>
    </row>
    <row r="20" spans="2:10" x14ac:dyDescent="0.25">
      <c r="B20" s="266">
        <f t="shared" si="3"/>
        <v>1.1000000000000001</v>
      </c>
      <c r="C20" s="273" t="s">
        <v>26</v>
      </c>
      <c r="D20" s="268" t="s">
        <v>17</v>
      </c>
      <c r="E20" s="269">
        <v>88</v>
      </c>
      <c r="F20" s="270"/>
      <c r="G20" s="270">
        <f t="shared" si="0"/>
        <v>0</v>
      </c>
      <c r="H20" s="271"/>
      <c r="I20" s="270">
        <f t="shared" si="1"/>
        <v>0</v>
      </c>
      <c r="J20" s="224">
        <f t="shared" si="2"/>
        <v>0</v>
      </c>
    </row>
    <row r="21" spans="2:10" x14ac:dyDescent="0.25">
      <c r="B21" s="266">
        <f t="shared" si="3"/>
        <v>1.1100000000000001</v>
      </c>
      <c r="C21" s="273" t="s">
        <v>27</v>
      </c>
      <c r="D21" s="268" t="s">
        <v>17</v>
      </c>
      <c r="E21" s="269">
        <v>88</v>
      </c>
      <c r="F21" s="270"/>
      <c r="G21" s="270">
        <f t="shared" si="0"/>
        <v>0</v>
      </c>
      <c r="H21" s="271"/>
      <c r="I21" s="270">
        <f t="shared" si="1"/>
        <v>0</v>
      </c>
      <c r="J21" s="224">
        <f t="shared" si="2"/>
        <v>0</v>
      </c>
    </row>
    <row r="22" spans="2:10" ht="40.5" x14ac:dyDescent="0.25">
      <c r="B22" s="266">
        <f t="shared" si="3"/>
        <v>1.1200000000000001</v>
      </c>
      <c r="C22" s="272" t="s">
        <v>28</v>
      </c>
      <c r="D22" s="268" t="s">
        <v>17</v>
      </c>
      <c r="E22" s="269">
        <v>88</v>
      </c>
      <c r="F22" s="274">
        <v>5503707</v>
      </c>
      <c r="G22" s="270">
        <f t="shared" si="0"/>
        <v>484326216</v>
      </c>
      <c r="H22" s="271">
        <v>2798928.71491072</v>
      </c>
      <c r="I22" s="270">
        <f t="shared" si="1"/>
        <v>246305726.91214335</v>
      </c>
      <c r="J22" s="224">
        <f t="shared" si="2"/>
        <v>730631942.91214335</v>
      </c>
    </row>
    <row r="23" spans="2:10" ht="27" x14ac:dyDescent="0.25">
      <c r="B23" s="266">
        <f t="shared" si="3"/>
        <v>1.1300000000000001</v>
      </c>
      <c r="C23" s="267" t="s">
        <v>29</v>
      </c>
      <c r="D23" s="268" t="s">
        <v>17</v>
      </c>
      <c r="E23" s="269">
        <v>88</v>
      </c>
      <c r="F23" s="275">
        <v>4486477.7168448111</v>
      </c>
      <c r="G23" s="270">
        <f t="shared" si="0"/>
        <v>394810039.0823434</v>
      </c>
      <c r="H23" s="271">
        <v>3914826.5360000003</v>
      </c>
      <c r="I23" s="270">
        <f t="shared" si="1"/>
        <v>344504735.16800004</v>
      </c>
      <c r="J23" s="224">
        <f t="shared" si="2"/>
        <v>739314774.25034344</v>
      </c>
    </row>
    <row r="24" spans="2:10" ht="40.5" x14ac:dyDescent="0.25">
      <c r="B24" s="266">
        <f t="shared" si="3"/>
        <v>1.1400000000000001</v>
      </c>
      <c r="C24" s="267" t="s">
        <v>30</v>
      </c>
      <c r="D24" s="268" t="s">
        <v>17</v>
      </c>
      <c r="E24" s="269">
        <v>88</v>
      </c>
      <c r="F24" s="270"/>
      <c r="G24" s="270">
        <f t="shared" si="0"/>
        <v>0</v>
      </c>
      <c r="H24" s="271">
        <v>3609587.6840000004</v>
      </c>
      <c r="I24" s="270">
        <f t="shared" si="1"/>
        <v>317643716.19200003</v>
      </c>
      <c r="J24" s="224">
        <f t="shared" si="2"/>
        <v>317643716.19200003</v>
      </c>
    </row>
    <row r="25" spans="2:10" ht="54" x14ac:dyDescent="0.25">
      <c r="B25" s="266">
        <f t="shared" si="3"/>
        <v>1.1500000000000001</v>
      </c>
      <c r="C25" s="276" t="s">
        <v>31</v>
      </c>
      <c r="D25" s="268" t="s">
        <v>17</v>
      </c>
      <c r="E25" s="269">
        <v>88</v>
      </c>
      <c r="F25" s="270"/>
      <c r="G25" s="270">
        <f t="shared" si="0"/>
        <v>0</v>
      </c>
      <c r="H25" s="271"/>
      <c r="I25" s="270">
        <f t="shared" si="1"/>
        <v>0</v>
      </c>
      <c r="J25" s="224">
        <f t="shared" si="2"/>
        <v>0</v>
      </c>
    </row>
    <row r="26" spans="2:10" x14ac:dyDescent="0.25">
      <c r="B26" s="266">
        <f t="shared" si="3"/>
        <v>1.1600000000000001</v>
      </c>
      <c r="C26" s="276" t="s">
        <v>32</v>
      </c>
      <c r="D26" s="268" t="s">
        <v>17</v>
      </c>
      <c r="E26" s="269">
        <v>88</v>
      </c>
      <c r="F26" s="270">
        <v>1962182.6700000002</v>
      </c>
      <c r="G26" s="270">
        <f t="shared" si="0"/>
        <v>172672074.96000001</v>
      </c>
      <c r="H26" s="271">
        <v>360959.08400000003</v>
      </c>
      <c r="I26" s="270">
        <f t="shared" si="1"/>
        <v>31764399.392000005</v>
      </c>
      <c r="J26" s="224">
        <f t="shared" si="2"/>
        <v>204436474.352</v>
      </c>
    </row>
    <row r="27" spans="2:10" x14ac:dyDescent="0.25">
      <c r="B27" s="266">
        <f t="shared" si="3"/>
        <v>1.1700000000000002</v>
      </c>
      <c r="C27" s="276" t="s">
        <v>33</v>
      </c>
      <c r="D27" s="268" t="s">
        <v>17</v>
      </c>
      <c r="E27" s="269">
        <v>88</v>
      </c>
      <c r="F27" s="270">
        <v>275560</v>
      </c>
      <c r="G27" s="270">
        <f t="shared" si="0"/>
        <v>24249280</v>
      </c>
      <c r="H27" s="271">
        <v>180620</v>
      </c>
      <c r="I27" s="270">
        <f t="shared" si="1"/>
        <v>15894560</v>
      </c>
      <c r="J27" s="224">
        <f t="shared" si="2"/>
        <v>40143840</v>
      </c>
    </row>
    <row r="28" spans="2:10" x14ac:dyDescent="0.25">
      <c r="B28" s="266">
        <f t="shared" si="3"/>
        <v>1.1800000000000002</v>
      </c>
      <c r="C28" s="277" t="s">
        <v>34</v>
      </c>
      <c r="D28" s="268" t="s">
        <v>17</v>
      </c>
      <c r="E28" s="269">
        <v>176</v>
      </c>
      <c r="F28" s="270">
        <v>31385</v>
      </c>
      <c r="G28" s="270">
        <f t="shared" si="0"/>
        <v>5523760</v>
      </c>
      <c r="H28" s="271">
        <v>31603.894349247203</v>
      </c>
      <c r="I28" s="270">
        <f t="shared" si="1"/>
        <v>5562285.4054675074</v>
      </c>
      <c r="J28" s="224">
        <f t="shared" si="2"/>
        <v>11086045.405467506</v>
      </c>
    </row>
    <row r="29" spans="2:10" ht="27" x14ac:dyDescent="0.25">
      <c r="B29" s="266">
        <f t="shared" si="3"/>
        <v>1.1900000000000002</v>
      </c>
      <c r="C29" s="278" t="s">
        <v>35</v>
      </c>
      <c r="D29" s="268" t="s">
        <v>17</v>
      </c>
      <c r="E29" s="269">
        <v>88</v>
      </c>
      <c r="F29" s="270">
        <v>192904</v>
      </c>
      <c r="G29" s="270">
        <f t="shared" si="0"/>
        <v>16975552</v>
      </c>
      <c r="H29" s="271">
        <v>170263</v>
      </c>
      <c r="I29" s="270">
        <f t="shared" si="1"/>
        <v>14983144</v>
      </c>
      <c r="J29" s="224">
        <f t="shared" si="2"/>
        <v>31958696</v>
      </c>
    </row>
    <row r="30" spans="2:10" ht="27" x14ac:dyDescent="0.25">
      <c r="B30" s="266">
        <f t="shared" si="3"/>
        <v>1.2000000000000002</v>
      </c>
      <c r="C30" s="276" t="s">
        <v>36</v>
      </c>
      <c r="D30" s="268" t="s">
        <v>17</v>
      </c>
      <c r="E30" s="269">
        <v>176</v>
      </c>
      <c r="F30" s="270">
        <v>962106</v>
      </c>
      <c r="G30" s="270">
        <f t="shared" si="0"/>
        <v>169330656</v>
      </c>
      <c r="H30" s="271">
        <v>817672.19688000006</v>
      </c>
      <c r="I30" s="270">
        <f t="shared" si="1"/>
        <v>143910306.65088001</v>
      </c>
      <c r="J30" s="224">
        <f t="shared" si="2"/>
        <v>313240962.65087998</v>
      </c>
    </row>
    <row r="31" spans="2:10" x14ac:dyDescent="0.25">
      <c r="B31" s="266">
        <f t="shared" si="3"/>
        <v>1.2100000000000002</v>
      </c>
      <c r="C31" s="278" t="s">
        <v>37</v>
      </c>
      <c r="D31" s="268" t="s">
        <v>17</v>
      </c>
      <c r="E31" s="269">
        <v>88</v>
      </c>
      <c r="F31" s="270">
        <v>455761</v>
      </c>
      <c r="G31" s="270">
        <f t="shared" si="0"/>
        <v>40106968</v>
      </c>
      <c r="H31" s="271">
        <v>97455</v>
      </c>
      <c r="I31" s="270">
        <f t="shared" si="1"/>
        <v>8576040</v>
      </c>
      <c r="J31" s="224">
        <f t="shared" si="2"/>
        <v>48683008</v>
      </c>
    </row>
    <row r="32" spans="2:10" x14ac:dyDescent="0.25">
      <c r="B32" s="266">
        <f t="shared" si="3"/>
        <v>1.2200000000000002</v>
      </c>
      <c r="C32" s="276" t="s">
        <v>38</v>
      </c>
      <c r="D32" s="268" t="s">
        <v>17</v>
      </c>
      <c r="E32" s="269">
        <v>352</v>
      </c>
      <c r="F32" s="270">
        <v>7418.4565171643308</v>
      </c>
      <c r="G32" s="270">
        <f t="shared" si="0"/>
        <v>2611296.6940418445</v>
      </c>
      <c r="H32" s="271">
        <v>2017.5034107997981</v>
      </c>
      <c r="I32" s="270">
        <f t="shared" si="1"/>
        <v>710161.20060152886</v>
      </c>
      <c r="J32" s="224">
        <f t="shared" si="2"/>
        <v>3321457.8946433733</v>
      </c>
    </row>
    <row r="33" spans="2:10" ht="27" x14ac:dyDescent="0.25">
      <c r="B33" s="266">
        <f t="shared" si="3"/>
        <v>1.2300000000000002</v>
      </c>
      <c r="C33" s="276" t="s">
        <v>39</v>
      </c>
      <c r="D33" s="268" t="s">
        <v>17</v>
      </c>
      <c r="E33" s="269">
        <v>88</v>
      </c>
      <c r="F33" s="270">
        <v>149435</v>
      </c>
      <c r="G33" s="270">
        <f t="shared" si="0"/>
        <v>13150280</v>
      </c>
      <c r="H33" s="271">
        <v>138607.71709633575</v>
      </c>
      <c r="I33" s="270">
        <f t="shared" si="1"/>
        <v>12197479.104477545</v>
      </c>
      <c r="J33" s="224">
        <f t="shared" si="2"/>
        <v>25347759.104477547</v>
      </c>
    </row>
    <row r="34" spans="2:10" ht="27" x14ac:dyDescent="0.25">
      <c r="B34" s="266">
        <f>B35+0.01</f>
        <v>1.2500000000000002</v>
      </c>
      <c r="C34" s="276" t="s">
        <v>40</v>
      </c>
      <c r="D34" s="268" t="s">
        <v>17</v>
      </c>
      <c r="E34" s="269">
        <v>88</v>
      </c>
      <c r="F34" s="270">
        <v>263833</v>
      </c>
      <c r="G34" s="270">
        <f t="shared" si="0"/>
        <v>23217304</v>
      </c>
      <c r="H34" s="271">
        <v>2265263.3868821794</v>
      </c>
      <c r="I34" s="270">
        <f t="shared" si="1"/>
        <v>199343178.0456318</v>
      </c>
      <c r="J34" s="224">
        <f t="shared" si="2"/>
        <v>222560482.0456318</v>
      </c>
    </row>
    <row r="35" spans="2:10" x14ac:dyDescent="0.25">
      <c r="B35" s="266">
        <f>B33+0.01</f>
        <v>1.2400000000000002</v>
      </c>
      <c r="C35" s="276" t="s">
        <v>41</v>
      </c>
      <c r="D35" s="268" t="s">
        <v>17</v>
      </c>
      <c r="E35" s="269">
        <v>1056</v>
      </c>
      <c r="F35" s="270">
        <v>7441</v>
      </c>
      <c r="G35" s="270">
        <f t="shared" si="0"/>
        <v>7857696</v>
      </c>
      <c r="H35" s="271">
        <v>45514</v>
      </c>
      <c r="I35" s="270">
        <f t="shared" si="1"/>
        <v>48062784</v>
      </c>
      <c r="J35" s="224">
        <f>G35+I35</f>
        <v>55920480</v>
      </c>
    </row>
    <row r="36" spans="2:10" x14ac:dyDescent="0.25">
      <c r="B36" s="266">
        <f>B34+0.01</f>
        <v>1.2600000000000002</v>
      </c>
      <c r="C36" s="267" t="s">
        <v>42</v>
      </c>
      <c r="D36" s="268" t="s">
        <v>43</v>
      </c>
      <c r="E36" s="269">
        <v>88</v>
      </c>
      <c r="F36" s="270">
        <v>2977793.9000000004</v>
      </c>
      <c r="G36" s="270">
        <f t="shared" si="0"/>
        <v>262045863.20000005</v>
      </c>
      <c r="H36" s="271"/>
      <c r="I36" s="270">
        <f t="shared" si="1"/>
        <v>0</v>
      </c>
      <c r="J36" s="224">
        <f t="shared" si="2"/>
        <v>262045863.20000005</v>
      </c>
    </row>
    <row r="37" spans="2:10" x14ac:dyDescent="0.25">
      <c r="B37" s="279">
        <f t="shared" si="3"/>
        <v>1.2700000000000002</v>
      </c>
      <c r="C37" s="280" t="s">
        <v>44</v>
      </c>
      <c r="D37" s="281" t="s">
        <v>43</v>
      </c>
      <c r="E37" s="282">
        <v>1</v>
      </c>
      <c r="F37" s="283">
        <v>9000000</v>
      </c>
      <c r="G37" s="283">
        <f t="shared" si="0"/>
        <v>9000000</v>
      </c>
      <c r="H37" s="284"/>
      <c r="I37" s="283">
        <f t="shared" si="1"/>
        <v>0</v>
      </c>
      <c r="J37" s="285">
        <f t="shared" si="2"/>
        <v>9000000</v>
      </c>
    </row>
    <row r="38" spans="2:10" ht="41.25" thickBot="1" x14ac:dyDescent="0.3">
      <c r="B38" s="286">
        <f t="shared" si="3"/>
        <v>1.2800000000000002</v>
      </c>
      <c r="C38" s="287" t="s">
        <v>370</v>
      </c>
      <c r="D38" s="288" t="s">
        <v>17</v>
      </c>
      <c r="E38" s="289">
        <v>15</v>
      </c>
      <c r="F38" s="290"/>
      <c r="G38" s="290">
        <f t="shared" ref="G38" si="4">E38*F38</f>
        <v>0</v>
      </c>
      <c r="H38" s="291">
        <v>4500000</v>
      </c>
      <c r="I38" s="290">
        <f t="shared" ref="I38" si="5">E38*H38</f>
        <v>67500000</v>
      </c>
      <c r="J38" s="292">
        <f t="shared" ref="J38" si="6">G38+I38</f>
        <v>67500000</v>
      </c>
    </row>
    <row r="39" spans="2:10" ht="14.25" thickBot="1" x14ac:dyDescent="0.3">
      <c r="B39" s="293"/>
      <c r="C39" s="294"/>
      <c r="D39" s="295"/>
      <c r="E39" s="296"/>
      <c r="F39" s="297"/>
      <c r="G39" s="297"/>
      <c r="H39" s="298"/>
      <c r="I39" s="298"/>
      <c r="J39" s="298"/>
    </row>
    <row r="40" spans="2:10" ht="15.75" x14ac:dyDescent="0.25">
      <c r="B40" s="299"/>
      <c r="C40" s="294"/>
      <c r="D40" s="295"/>
      <c r="E40" s="296"/>
      <c r="F40" s="300"/>
      <c r="G40" s="301"/>
      <c r="H40" s="302" t="s">
        <v>45</v>
      </c>
      <c r="I40" s="303"/>
      <c r="J40" s="220">
        <f>SUM(J11:J37)</f>
        <v>6789105265.1227636</v>
      </c>
    </row>
    <row r="41" spans="2:10" x14ac:dyDescent="0.25">
      <c r="B41" s="299"/>
      <c r="C41" s="294"/>
      <c r="D41" s="295"/>
      <c r="E41" s="296"/>
      <c r="F41" s="221" t="s">
        <v>46</v>
      </c>
      <c r="G41" s="304"/>
      <c r="H41" s="305"/>
      <c r="I41" s="223">
        <v>0.22</v>
      </c>
      <c r="J41" s="224">
        <f>J40*I41</f>
        <v>1493603158.327008</v>
      </c>
    </row>
    <row r="42" spans="2:10" x14ac:dyDescent="0.25">
      <c r="B42" s="299"/>
      <c r="C42" s="294"/>
      <c r="D42" s="295"/>
      <c r="E42" s="296"/>
      <c r="F42" s="221" t="s">
        <v>47</v>
      </c>
      <c r="G42" s="304"/>
      <c r="H42" s="305"/>
      <c r="I42" s="223">
        <v>0.04</v>
      </c>
      <c r="J42" s="224">
        <f>J40*I42</f>
        <v>271564210.60491055</v>
      </c>
    </row>
    <row r="43" spans="2:10" x14ac:dyDescent="0.25">
      <c r="B43" s="299"/>
      <c r="C43" s="294"/>
      <c r="D43" s="295"/>
      <c r="E43" s="296"/>
      <c r="F43" s="221" t="s">
        <v>48</v>
      </c>
      <c r="G43" s="304"/>
      <c r="H43" s="305"/>
      <c r="I43" s="223">
        <v>0.04</v>
      </c>
      <c r="J43" s="224">
        <f>J40*I43</f>
        <v>271564210.60491055</v>
      </c>
    </row>
    <row r="44" spans="2:10" x14ac:dyDescent="0.25">
      <c r="B44" s="299"/>
      <c r="C44" s="294"/>
      <c r="D44" s="295"/>
      <c r="E44" s="296"/>
      <c r="F44" s="221" t="s">
        <v>49</v>
      </c>
      <c r="G44" s="304"/>
      <c r="H44" s="305"/>
      <c r="I44" s="226"/>
      <c r="J44" s="224"/>
    </row>
    <row r="45" spans="2:10" x14ac:dyDescent="0.25">
      <c r="B45" s="299"/>
      <c r="C45" s="294"/>
      <c r="D45" s="295"/>
      <c r="E45" s="296"/>
      <c r="F45" s="221" t="s">
        <v>50</v>
      </c>
      <c r="G45" s="304"/>
      <c r="H45" s="305"/>
      <c r="I45" s="223">
        <v>0.19</v>
      </c>
      <c r="J45" s="224">
        <f>J43*I45</f>
        <v>51597200.014933005</v>
      </c>
    </row>
    <row r="46" spans="2:10" x14ac:dyDescent="0.25">
      <c r="B46" s="299"/>
      <c r="C46" s="294"/>
      <c r="D46" s="295"/>
      <c r="E46" s="296"/>
      <c r="F46" s="228"/>
      <c r="G46" s="304"/>
      <c r="H46" s="305"/>
      <c r="I46" s="306"/>
      <c r="J46" s="224"/>
    </row>
    <row r="47" spans="2:10" ht="16.5" thickBot="1" x14ac:dyDescent="0.3">
      <c r="B47" s="299"/>
      <c r="C47" s="294"/>
      <c r="D47" s="295"/>
      <c r="E47" s="296"/>
      <c r="F47" s="307"/>
      <c r="G47" s="308"/>
      <c r="H47" s="309" t="s">
        <v>51</v>
      </c>
      <c r="I47" s="291"/>
      <c r="J47" s="232">
        <f>SUM(J40:J45)</f>
        <v>8877434044.6745262</v>
      </c>
    </row>
    <row r="48" spans="2:10" x14ac:dyDescent="0.25">
      <c r="B48" s="299"/>
      <c r="C48" s="294"/>
      <c r="D48" s="295"/>
      <c r="E48" s="296"/>
      <c r="F48" s="297"/>
      <c r="G48" s="297"/>
      <c r="H48" s="298"/>
      <c r="I48" s="298"/>
      <c r="J48" s="298"/>
    </row>
    <row r="50" spans="2:3" ht="18.75" x14ac:dyDescent="0.25">
      <c r="B50" s="310" t="s">
        <v>52</v>
      </c>
      <c r="C50" s="311" t="s">
        <v>339</v>
      </c>
    </row>
    <row r="51" spans="2:3" ht="18.75" x14ac:dyDescent="0.25">
      <c r="B51" s="310" t="s">
        <v>53</v>
      </c>
      <c r="C51" s="311" t="s">
        <v>400</v>
      </c>
    </row>
  </sheetData>
  <mergeCells count="4">
    <mergeCell ref="F8:G8"/>
    <mergeCell ref="H8:I8"/>
    <mergeCell ref="B9:B10"/>
    <mergeCell ref="C9:C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1BF0-30E6-4DC1-857A-BE85255AF62A}">
  <sheetPr>
    <tabColor rgb="FF92D050"/>
  </sheetPr>
  <dimension ref="B1:J47"/>
  <sheetViews>
    <sheetView zoomScaleNormal="100" workbookViewId="0"/>
  </sheetViews>
  <sheetFormatPr baseColWidth="10" defaultColWidth="12.625" defaultRowHeight="12.75" x14ac:dyDescent="0.2"/>
  <cols>
    <col min="1" max="1" width="4.5" style="30" customWidth="1"/>
    <col min="2" max="2" width="6.125" style="64" customWidth="1"/>
    <col min="3" max="3" width="60.625" style="30" customWidth="1"/>
    <col min="4" max="4" width="9.625" style="30" customWidth="1"/>
    <col min="5" max="5" width="9.625" style="62" customWidth="1"/>
    <col min="6" max="7" width="11.625" style="63" customWidth="1"/>
    <col min="8" max="10" width="11.625" style="62" customWidth="1"/>
    <col min="11" max="16384" width="12.625" style="30"/>
  </cols>
  <sheetData>
    <row r="1" spans="2:10" s="2" customFormat="1" ht="15" x14ac:dyDescent="0.2">
      <c r="B1" s="8"/>
      <c r="E1" s="4"/>
      <c r="F1" s="5"/>
      <c r="G1" s="5"/>
      <c r="H1" s="4"/>
      <c r="I1" s="4"/>
      <c r="J1" s="4"/>
    </row>
    <row r="2" spans="2:10" s="2" customFormat="1" ht="15.75" x14ac:dyDescent="0.25">
      <c r="B2" s="1" t="s">
        <v>0</v>
      </c>
      <c r="D2" s="3"/>
      <c r="E2" s="4"/>
      <c r="F2" s="5"/>
      <c r="G2" s="5"/>
      <c r="H2" s="4"/>
      <c r="I2" s="4"/>
      <c r="J2" s="4"/>
    </row>
    <row r="3" spans="2:10" s="2" customFormat="1" ht="15.75" x14ac:dyDescent="0.25">
      <c r="B3" s="1" t="s">
        <v>1</v>
      </c>
      <c r="C3" s="5"/>
      <c r="D3" s="6" t="s">
        <v>2</v>
      </c>
      <c r="E3" s="4"/>
      <c r="F3" s="5"/>
      <c r="G3" s="5"/>
      <c r="H3" s="7"/>
      <c r="I3" s="4"/>
      <c r="J3" s="4"/>
    </row>
    <row r="4" spans="2:10" s="2" customFormat="1" ht="15.75" x14ac:dyDescent="0.25">
      <c r="B4" s="1" t="s">
        <v>361</v>
      </c>
      <c r="D4" s="3"/>
      <c r="E4" s="4"/>
      <c r="F4" s="5"/>
      <c r="G4" s="5"/>
      <c r="H4" s="4"/>
      <c r="I4" s="4"/>
      <c r="J4" s="4"/>
    </row>
    <row r="5" spans="2:10" s="2" customFormat="1" ht="15.75" thickBot="1" x14ac:dyDescent="0.25">
      <c r="B5" s="8"/>
      <c r="E5" s="4"/>
      <c r="F5" s="9"/>
      <c r="G5" s="5"/>
      <c r="H5" s="10"/>
      <c r="I5" s="4"/>
      <c r="J5" s="4"/>
    </row>
    <row r="6" spans="2:10" s="14" customFormat="1" ht="54.95" customHeight="1" x14ac:dyDescent="0.25">
      <c r="B6" s="11" t="s">
        <v>3</v>
      </c>
      <c r="C6" s="12" t="s">
        <v>4</v>
      </c>
      <c r="D6" s="12" t="s">
        <v>5</v>
      </c>
      <c r="E6" s="12" t="s">
        <v>6</v>
      </c>
      <c r="F6" s="400" t="s">
        <v>7</v>
      </c>
      <c r="G6" s="400"/>
      <c r="H6" s="401" t="s">
        <v>8</v>
      </c>
      <c r="I6" s="401"/>
      <c r="J6" s="13" t="s">
        <v>9</v>
      </c>
    </row>
    <row r="7" spans="2:10" s="19" customFormat="1" ht="27.75" customHeight="1" x14ac:dyDescent="0.2">
      <c r="B7" s="402">
        <v>2</v>
      </c>
      <c r="C7" s="404" t="s">
        <v>54</v>
      </c>
      <c r="D7" s="15"/>
      <c r="E7" s="16"/>
      <c r="F7" s="17" t="s">
        <v>11</v>
      </c>
      <c r="G7" s="17" t="s">
        <v>12</v>
      </c>
      <c r="H7" s="17" t="s">
        <v>11</v>
      </c>
      <c r="I7" s="17" t="s">
        <v>13</v>
      </c>
      <c r="J7" s="18" t="s">
        <v>14</v>
      </c>
    </row>
    <row r="8" spans="2:10" s="19" customFormat="1" ht="27.75" customHeight="1" x14ac:dyDescent="0.2">
      <c r="B8" s="403"/>
      <c r="C8" s="405"/>
      <c r="D8" s="20"/>
      <c r="E8" s="169" t="s">
        <v>14</v>
      </c>
      <c r="F8" s="21" t="s">
        <v>15</v>
      </c>
      <c r="G8" s="21" t="s">
        <v>15</v>
      </c>
      <c r="H8" s="21" t="s">
        <v>15</v>
      </c>
      <c r="I8" s="21" t="s">
        <v>15</v>
      </c>
      <c r="J8" s="22" t="s">
        <v>15</v>
      </c>
    </row>
    <row r="9" spans="2:10" x14ac:dyDescent="0.2">
      <c r="B9" s="23">
        <f>B7+0.01</f>
        <v>2.0099999999999998</v>
      </c>
      <c r="C9" s="172" t="s">
        <v>55</v>
      </c>
      <c r="D9" s="65" t="s">
        <v>17</v>
      </c>
      <c r="E9" s="26">
        <v>4</v>
      </c>
      <c r="F9" s="32">
        <f>43966191*1.058</f>
        <v>46516230.078000002</v>
      </c>
      <c r="G9" s="27">
        <f>E9*F9</f>
        <v>186064920.31200001</v>
      </c>
      <c r="H9" s="28">
        <v>1804793.3160000001</v>
      </c>
      <c r="I9" s="28">
        <f>E9*H9</f>
        <v>7219173.2640000004</v>
      </c>
      <c r="J9" s="29">
        <f>G9+I9</f>
        <v>193284093.57600001</v>
      </c>
    </row>
    <row r="10" spans="2:10" x14ac:dyDescent="0.2">
      <c r="B10" s="23">
        <f>B9+0.01</f>
        <v>2.0199999999999996</v>
      </c>
      <c r="C10" s="172" t="s">
        <v>56</v>
      </c>
      <c r="D10" s="65" t="s">
        <v>17</v>
      </c>
      <c r="E10" s="26">
        <v>4</v>
      </c>
      <c r="F10" s="32">
        <f>41305021*1.058</f>
        <v>43700712.218000002</v>
      </c>
      <c r="G10" s="27">
        <f t="shared" ref="G10:G38" si="0">E10*F10</f>
        <v>174802848.87200001</v>
      </c>
      <c r="H10" s="28"/>
      <c r="I10" s="28">
        <f t="shared" ref="I10:I38" si="1">E10*H10</f>
        <v>0</v>
      </c>
      <c r="J10" s="29">
        <f t="shared" ref="J10:J38" si="2">G10+I10</f>
        <v>174802848.87200001</v>
      </c>
    </row>
    <row r="11" spans="2:10" x14ac:dyDescent="0.2">
      <c r="B11" s="23">
        <f t="shared" ref="B11:B38" si="3">B10+0.01</f>
        <v>2.0299999999999994</v>
      </c>
      <c r="C11" s="172" t="s">
        <v>57</v>
      </c>
      <c r="D11" s="65" t="s">
        <v>17</v>
      </c>
      <c r="E11" s="26">
        <v>4</v>
      </c>
      <c r="F11" s="32">
        <f>590000*2</f>
        <v>1180000</v>
      </c>
      <c r="G11" s="27">
        <f t="shared" si="0"/>
        <v>4720000</v>
      </c>
      <c r="H11" s="28">
        <v>450000</v>
      </c>
      <c r="I11" s="28">
        <f t="shared" si="1"/>
        <v>1800000</v>
      </c>
      <c r="J11" s="29">
        <f t="shared" si="2"/>
        <v>6520000</v>
      </c>
    </row>
    <row r="12" spans="2:10" x14ac:dyDescent="0.2">
      <c r="B12" s="23">
        <f t="shared" si="3"/>
        <v>2.0399999999999991</v>
      </c>
      <c r="C12" s="35" t="s">
        <v>372</v>
      </c>
      <c r="D12" s="65" t="s">
        <v>17</v>
      </c>
      <c r="E12" s="26">
        <v>0</v>
      </c>
      <c r="F12" s="32"/>
      <c r="G12" s="27">
        <f t="shared" si="0"/>
        <v>0</v>
      </c>
      <c r="H12" s="28"/>
      <c r="I12" s="28">
        <f t="shared" si="1"/>
        <v>0</v>
      </c>
      <c r="J12" s="29">
        <f t="shared" si="2"/>
        <v>0</v>
      </c>
    </row>
    <row r="13" spans="2:10" ht="25.5" x14ac:dyDescent="0.2">
      <c r="B13" s="23">
        <f t="shared" si="3"/>
        <v>2.0499999999999989</v>
      </c>
      <c r="C13" s="35" t="s">
        <v>373</v>
      </c>
      <c r="D13" s="65" t="s">
        <v>17</v>
      </c>
      <c r="E13" s="26">
        <v>0</v>
      </c>
      <c r="F13" s="32"/>
      <c r="G13" s="27">
        <f t="shared" si="0"/>
        <v>0</v>
      </c>
      <c r="H13" s="28"/>
      <c r="I13" s="28">
        <f t="shared" si="1"/>
        <v>0</v>
      </c>
      <c r="J13" s="29">
        <f t="shared" si="2"/>
        <v>0</v>
      </c>
    </row>
    <row r="14" spans="2:10" ht="25.5" x14ac:dyDescent="0.2">
      <c r="B14" s="23">
        <f t="shared" si="3"/>
        <v>2.0599999999999987</v>
      </c>
      <c r="C14" s="35" t="s">
        <v>374</v>
      </c>
      <c r="D14" s="65" t="s">
        <v>17</v>
      </c>
      <c r="E14" s="26">
        <v>0</v>
      </c>
      <c r="F14" s="32"/>
      <c r="G14" s="27">
        <f t="shared" si="0"/>
        <v>0</v>
      </c>
      <c r="H14" s="28"/>
      <c r="I14" s="28">
        <f t="shared" si="1"/>
        <v>0</v>
      </c>
      <c r="J14" s="29">
        <f t="shared" si="2"/>
        <v>0</v>
      </c>
    </row>
    <row r="15" spans="2:10" x14ac:dyDescent="0.2">
      <c r="B15" s="23">
        <f t="shared" si="3"/>
        <v>2.0699999999999985</v>
      </c>
      <c r="C15" s="35" t="s">
        <v>375</v>
      </c>
      <c r="D15" s="65" t="s">
        <v>17</v>
      </c>
      <c r="E15" s="26">
        <v>0</v>
      </c>
      <c r="F15" s="32"/>
      <c r="G15" s="27">
        <f t="shared" si="0"/>
        <v>0</v>
      </c>
      <c r="H15" s="28"/>
      <c r="I15" s="28">
        <f t="shared" si="1"/>
        <v>0</v>
      </c>
      <c r="J15" s="29">
        <f t="shared" si="2"/>
        <v>0</v>
      </c>
    </row>
    <row r="16" spans="2:10" ht="56.25" customHeight="1" x14ac:dyDescent="0.2">
      <c r="B16" s="23">
        <f t="shared" si="3"/>
        <v>2.0799999999999983</v>
      </c>
      <c r="C16" s="172" t="s">
        <v>58</v>
      </c>
      <c r="D16" s="65" t="s">
        <v>17</v>
      </c>
      <c r="E16" s="26">
        <v>4</v>
      </c>
      <c r="F16" s="32">
        <f>2747578*1.058</f>
        <v>2906937.5240000002</v>
      </c>
      <c r="G16" s="27">
        <f t="shared" si="0"/>
        <v>11627750.096000001</v>
      </c>
      <c r="H16" s="28">
        <v>866300.96000000008</v>
      </c>
      <c r="I16" s="28">
        <f t="shared" si="1"/>
        <v>3465203.8400000003</v>
      </c>
      <c r="J16" s="29">
        <f t="shared" si="2"/>
        <v>15092953.936000001</v>
      </c>
    </row>
    <row r="17" spans="2:10" x14ac:dyDescent="0.2">
      <c r="B17" s="23">
        <f t="shared" si="3"/>
        <v>2.0899999999999981</v>
      </c>
      <c r="C17" s="172" t="s">
        <v>59</v>
      </c>
      <c r="D17" s="65" t="s">
        <v>17</v>
      </c>
      <c r="E17" s="26">
        <v>4</v>
      </c>
      <c r="F17" s="32">
        <v>150000</v>
      </c>
      <c r="G17" s="27">
        <f t="shared" si="0"/>
        <v>600000</v>
      </c>
      <c r="H17" s="28"/>
      <c r="I17" s="28">
        <f t="shared" si="1"/>
        <v>0</v>
      </c>
      <c r="J17" s="29">
        <f t="shared" si="2"/>
        <v>600000</v>
      </c>
    </row>
    <row r="18" spans="2:10" x14ac:dyDescent="0.2">
      <c r="B18" s="23">
        <f t="shared" si="3"/>
        <v>2.0999999999999979</v>
      </c>
      <c r="C18" s="172" t="s">
        <v>60</v>
      </c>
      <c r="D18" s="65" t="s">
        <v>17</v>
      </c>
      <c r="E18" s="26">
        <v>4</v>
      </c>
      <c r="F18" s="32">
        <v>30500</v>
      </c>
      <c r="G18" s="27">
        <f t="shared" si="0"/>
        <v>122000</v>
      </c>
      <c r="H18" s="28"/>
      <c r="I18" s="28">
        <f t="shared" si="1"/>
        <v>0</v>
      </c>
      <c r="J18" s="29">
        <f t="shared" si="2"/>
        <v>122000</v>
      </c>
    </row>
    <row r="19" spans="2:10" ht="25.5" x14ac:dyDescent="0.2">
      <c r="B19" s="23">
        <f t="shared" si="3"/>
        <v>2.1099999999999977</v>
      </c>
      <c r="C19" s="172" t="s">
        <v>61</v>
      </c>
      <c r="D19" s="65" t="s">
        <v>17</v>
      </c>
      <c r="E19" s="26">
        <v>4</v>
      </c>
      <c r="F19" s="32">
        <f>5632*1.058</f>
        <v>5958.6559999999999</v>
      </c>
      <c r="G19" s="27">
        <f t="shared" si="0"/>
        <v>23834.624</v>
      </c>
      <c r="H19" s="28">
        <v>4476.26</v>
      </c>
      <c r="I19" s="28">
        <f t="shared" si="1"/>
        <v>17905.04</v>
      </c>
      <c r="J19" s="29">
        <f t="shared" si="2"/>
        <v>41739.664000000004</v>
      </c>
    </row>
    <row r="20" spans="2:10" x14ac:dyDescent="0.2">
      <c r="B20" s="23">
        <f t="shared" si="3"/>
        <v>2.1199999999999974</v>
      </c>
      <c r="C20" s="35" t="s">
        <v>376</v>
      </c>
      <c r="D20" s="65" t="s">
        <v>17</v>
      </c>
      <c r="E20" s="26">
        <v>4</v>
      </c>
      <c r="F20" s="32">
        <f>4998187*1.058</f>
        <v>5288081.8459999999</v>
      </c>
      <c r="G20" s="27">
        <f t="shared" si="0"/>
        <v>21152327.384</v>
      </c>
      <c r="H20" s="28">
        <v>2487278.3160000001</v>
      </c>
      <c r="I20" s="28">
        <f t="shared" si="1"/>
        <v>9949113.2640000004</v>
      </c>
      <c r="J20" s="29">
        <f t="shared" si="2"/>
        <v>31101440.648000002</v>
      </c>
    </row>
    <row r="21" spans="2:10" x14ac:dyDescent="0.2">
      <c r="B21" s="23">
        <f t="shared" si="3"/>
        <v>2.1299999999999972</v>
      </c>
      <c r="C21" s="35" t="s">
        <v>377</v>
      </c>
      <c r="D21" s="65" t="s">
        <v>17</v>
      </c>
      <c r="E21" s="26">
        <v>4</v>
      </c>
      <c r="F21" s="32"/>
      <c r="G21" s="27">
        <f t="shared" si="0"/>
        <v>0</v>
      </c>
      <c r="H21" s="28"/>
      <c r="I21" s="28">
        <f t="shared" si="1"/>
        <v>0</v>
      </c>
      <c r="J21" s="29">
        <f t="shared" si="2"/>
        <v>0</v>
      </c>
    </row>
    <row r="22" spans="2:10" x14ac:dyDescent="0.2">
      <c r="B22" s="23">
        <f t="shared" si="3"/>
        <v>2.139999999999997</v>
      </c>
      <c r="C22" s="35" t="s">
        <v>378</v>
      </c>
      <c r="D22" s="65" t="s">
        <v>17</v>
      </c>
      <c r="E22" s="26">
        <v>4</v>
      </c>
      <c r="F22" s="32"/>
      <c r="G22" s="27">
        <f t="shared" si="0"/>
        <v>0</v>
      </c>
      <c r="H22" s="28"/>
      <c r="I22" s="28">
        <f t="shared" si="1"/>
        <v>0</v>
      </c>
      <c r="J22" s="29">
        <f t="shared" si="2"/>
        <v>0</v>
      </c>
    </row>
    <row r="23" spans="2:10" x14ac:dyDescent="0.2">
      <c r="B23" s="23">
        <f t="shared" si="3"/>
        <v>2.1499999999999968</v>
      </c>
      <c r="C23" s="35" t="s">
        <v>379</v>
      </c>
      <c r="D23" s="65" t="s">
        <v>17</v>
      </c>
      <c r="E23" s="26">
        <v>4</v>
      </c>
      <c r="F23" s="32"/>
      <c r="G23" s="27">
        <f t="shared" si="0"/>
        <v>0</v>
      </c>
      <c r="H23" s="28"/>
      <c r="I23" s="28">
        <f t="shared" si="1"/>
        <v>0</v>
      </c>
      <c r="J23" s="29">
        <f t="shared" si="2"/>
        <v>0</v>
      </c>
    </row>
    <row r="24" spans="2:10" x14ac:dyDescent="0.2">
      <c r="B24" s="23">
        <f t="shared" si="3"/>
        <v>2.1599999999999966</v>
      </c>
      <c r="C24" s="35" t="s">
        <v>380</v>
      </c>
      <c r="D24" s="65" t="s">
        <v>17</v>
      </c>
      <c r="E24" s="26">
        <v>4</v>
      </c>
      <c r="F24" s="32"/>
      <c r="G24" s="27">
        <f t="shared" si="0"/>
        <v>0</v>
      </c>
      <c r="H24" s="28"/>
      <c r="I24" s="28">
        <f t="shared" si="1"/>
        <v>0</v>
      </c>
      <c r="J24" s="29">
        <f t="shared" si="2"/>
        <v>0</v>
      </c>
    </row>
    <row r="25" spans="2:10" x14ac:dyDescent="0.2">
      <c r="B25" s="23">
        <f t="shared" si="3"/>
        <v>2.1699999999999964</v>
      </c>
      <c r="C25" s="35" t="s">
        <v>381</v>
      </c>
      <c r="D25" s="65" t="s">
        <v>17</v>
      </c>
      <c r="E25" s="26">
        <v>4</v>
      </c>
      <c r="F25" s="32"/>
      <c r="G25" s="27">
        <f t="shared" si="0"/>
        <v>0</v>
      </c>
      <c r="H25" s="28"/>
      <c r="I25" s="28">
        <f t="shared" si="1"/>
        <v>0</v>
      </c>
      <c r="J25" s="29">
        <f t="shared" si="2"/>
        <v>0</v>
      </c>
    </row>
    <row r="26" spans="2:10" ht="25.5" x14ac:dyDescent="0.2">
      <c r="B26" s="23">
        <f t="shared" si="3"/>
        <v>2.1799999999999962</v>
      </c>
      <c r="C26" s="35" t="s">
        <v>382</v>
      </c>
      <c r="D26" s="65" t="s">
        <v>17</v>
      </c>
      <c r="E26" s="26">
        <v>4</v>
      </c>
      <c r="F26" s="32"/>
      <c r="G26" s="27">
        <f t="shared" si="0"/>
        <v>0</v>
      </c>
      <c r="H26" s="28"/>
      <c r="I26" s="28">
        <f t="shared" si="1"/>
        <v>0</v>
      </c>
      <c r="J26" s="29">
        <f t="shared" si="2"/>
        <v>0</v>
      </c>
    </row>
    <row r="27" spans="2:10" x14ac:dyDescent="0.2">
      <c r="B27" s="23">
        <f t="shared" si="3"/>
        <v>2.1899999999999959</v>
      </c>
      <c r="C27" s="35" t="s">
        <v>383</v>
      </c>
      <c r="D27" s="65" t="s">
        <v>17</v>
      </c>
      <c r="E27" s="26">
        <v>4</v>
      </c>
      <c r="F27" s="32"/>
      <c r="G27" s="27">
        <f t="shared" si="0"/>
        <v>0</v>
      </c>
      <c r="H27" s="28"/>
      <c r="I27" s="28">
        <f t="shared" si="1"/>
        <v>0</v>
      </c>
      <c r="J27" s="29">
        <f t="shared" si="2"/>
        <v>0</v>
      </c>
    </row>
    <row r="28" spans="2:10" x14ac:dyDescent="0.2">
      <c r="B28" s="23">
        <f t="shared" si="3"/>
        <v>2.1999999999999957</v>
      </c>
      <c r="C28" s="172" t="s">
        <v>391</v>
      </c>
      <c r="D28" s="65" t="s">
        <v>17</v>
      </c>
      <c r="E28" s="26">
        <v>4</v>
      </c>
      <c r="F28" s="32"/>
      <c r="G28" s="27">
        <f t="shared" si="0"/>
        <v>0</v>
      </c>
      <c r="H28" s="28"/>
      <c r="I28" s="28">
        <f t="shared" si="1"/>
        <v>0</v>
      </c>
      <c r="J28" s="29">
        <f t="shared" si="2"/>
        <v>0</v>
      </c>
    </row>
    <row r="29" spans="2:10" x14ac:dyDescent="0.2">
      <c r="B29" s="23">
        <f t="shared" si="3"/>
        <v>2.2099999999999955</v>
      </c>
      <c r="C29" s="35" t="s">
        <v>34</v>
      </c>
      <c r="D29" s="65" t="s">
        <v>17</v>
      </c>
      <c r="E29" s="26">
        <v>8</v>
      </c>
      <c r="F29" s="27">
        <v>31385</v>
      </c>
      <c r="G29" s="27">
        <f t="shared" si="0"/>
        <v>251080</v>
      </c>
      <c r="H29" s="28">
        <v>31603.894349247203</v>
      </c>
      <c r="I29" s="28">
        <f t="shared" si="1"/>
        <v>252831.15479397762</v>
      </c>
      <c r="J29" s="29">
        <f t="shared" si="2"/>
        <v>503911.15479397762</v>
      </c>
    </row>
    <row r="30" spans="2:10" ht="25.5" x14ac:dyDescent="0.2">
      <c r="B30" s="23">
        <f t="shared" si="3"/>
        <v>2.2199999999999953</v>
      </c>
      <c r="C30" s="35" t="s">
        <v>392</v>
      </c>
      <c r="D30" s="65" t="s">
        <v>17</v>
      </c>
      <c r="E30" s="26">
        <v>4</v>
      </c>
      <c r="F30" s="27">
        <v>192904</v>
      </c>
      <c r="G30" s="27">
        <f t="shared" ref="G30" si="4">E30*F30</f>
        <v>771616</v>
      </c>
      <c r="H30" s="28">
        <f>153879+16384</f>
        <v>170263</v>
      </c>
      <c r="I30" s="28">
        <f t="shared" ref="I30" si="5">E30*H30</f>
        <v>681052</v>
      </c>
      <c r="J30" s="29">
        <f t="shared" ref="J30" si="6">G30+I30</f>
        <v>1452668</v>
      </c>
    </row>
    <row r="31" spans="2:10" x14ac:dyDescent="0.2">
      <c r="B31" s="23">
        <f>B29+0.01</f>
        <v>2.2199999999999953</v>
      </c>
      <c r="C31" s="172" t="s">
        <v>384</v>
      </c>
      <c r="D31" s="65" t="s">
        <v>17</v>
      </c>
      <c r="E31" s="26">
        <v>8</v>
      </c>
      <c r="F31" s="27">
        <v>962106</v>
      </c>
      <c r="G31" s="27">
        <f t="shared" si="0"/>
        <v>7696848</v>
      </c>
      <c r="H31" s="28">
        <v>817672.19688000006</v>
      </c>
      <c r="I31" s="28">
        <f t="shared" si="1"/>
        <v>6541377.5750400005</v>
      </c>
      <c r="J31" s="29">
        <f t="shared" si="2"/>
        <v>14238225.575040001</v>
      </c>
    </row>
    <row r="32" spans="2:10" x14ac:dyDescent="0.2">
      <c r="B32" s="23">
        <f t="shared" si="3"/>
        <v>2.2299999999999951</v>
      </c>
      <c r="C32" s="84" t="s">
        <v>385</v>
      </c>
      <c r="D32" s="25" t="s">
        <v>17</v>
      </c>
      <c r="E32" s="26">
        <v>4</v>
      </c>
      <c r="F32" s="27">
        <v>455761</v>
      </c>
      <c r="G32" s="27">
        <f t="shared" si="0"/>
        <v>1823044</v>
      </c>
      <c r="H32" s="28">
        <v>97455</v>
      </c>
      <c r="I32" s="28">
        <f t="shared" si="1"/>
        <v>389820</v>
      </c>
      <c r="J32" s="29">
        <f t="shared" si="2"/>
        <v>2212864</v>
      </c>
    </row>
    <row r="33" spans="2:10" x14ac:dyDescent="0.2">
      <c r="B33" s="23">
        <f t="shared" si="3"/>
        <v>2.2399999999999949</v>
      </c>
      <c r="C33" s="172" t="s">
        <v>386</v>
      </c>
      <c r="D33" s="65" t="s">
        <v>17</v>
      </c>
      <c r="E33" s="26">
        <v>18</v>
      </c>
      <c r="F33" s="27">
        <v>7418.4565171643308</v>
      </c>
      <c r="G33" s="27">
        <f t="shared" si="0"/>
        <v>133532.21730895794</v>
      </c>
      <c r="H33" s="28">
        <v>2017.5034107997981</v>
      </c>
      <c r="I33" s="28">
        <f t="shared" si="1"/>
        <v>36315.061394396369</v>
      </c>
      <c r="J33" s="29">
        <f t="shared" si="2"/>
        <v>169847.2787033543</v>
      </c>
    </row>
    <row r="34" spans="2:10" ht="25.5" x14ac:dyDescent="0.2">
      <c r="B34" s="23">
        <f t="shared" si="3"/>
        <v>2.2499999999999947</v>
      </c>
      <c r="C34" s="172" t="s">
        <v>387</v>
      </c>
      <c r="D34" s="65" t="s">
        <v>17</v>
      </c>
      <c r="E34" s="26">
        <v>4</v>
      </c>
      <c r="F34" s="27">
        <v>149435</v>
      </c>
      <c r="G34" s="27">
        <f t="shared" si="0"/>
        <v>597740</v>
      </c>
      <c r="H34" s="28">
        <v>138607.71709633575</v>
      </c>
      <c r="I34" s="28">
        <f t="shared" si="1"/>
        <v>554430.868385343</v>
      </c>
      <c r="J34" s="29">
        <f t="shared" si="2"/>
        <v>1152170.8683853429</v>
      </c>
    </row>
    <row r="35" spans="2:10" ht="25.5" x14ac:dyDescent="0.2">
      <c r="B35" s="23">
        <f>B36+0.01</f>
        <v>2.2699999999999942</v>
      </c>
      <c r="C35" s="172" t="s">
        <v>388</v>
      </c>
      <c r="D35" s="65" t="s">
        <v>17</v>
      </c>
      <c r="E35" s="26">
        <v>4</v>
      </c>
      <c r="F35" s="27">
        <v>263833</v>
      </c>
      <c r="G35" s="27">
        <f t="shared" si="0"/>
        <v>1055332</v>
      </c>
      <c r="H35" s="28">
        <v>2265263.3868821794</v>
      </c>
      <c r="I35" s="28">
        <f t="shared" si="1"/>
        <v>9061053.5475287177</v>
      </c>
      <c r="J35" s="29">
        <f t="shared" si="2"/>
        <v>10116385.547528718</v>
      </c>
    </row>
    <row r="36" spans="2:10" x14ac:dyDescent="0.2">
      <c r="B36" s="23">
        <f>B34+0.01</f>
        <v>2.2599999999999945</v>
      </c>
      <c r="C36" s="172" t="s">
        <v>389</v>
      </c>
      <c r="D36" s="65" t="s">
        <v>17</v>
      </c>
      <c r="E36" s="26">
        <v>48</v>
      </c>
      <c r="F36" s="27">
        <v>7441</v>
      </c>
      <c r="G36" s="27">
        <f t="shared" si="0"/>
        <v>357168</v>
      </c>
      <c r="H36" s="28">
        <v>45514</v>
      </c>
      <c r="I36" s="28">
        <f t="shared" si="1"/>
        <v>2184672</v>
      </c>
      <c r="J36" s="29">
        <f>G36+I36</f>
        <v>2541840</v>
      </c>
    </row>
    <row r="37" spans="2:10" ht="25.5" x14ac:dyDescent="0.2">
      <c r="B37" s="23">
        <f>B35+0.01</f>
        <v>2.279999999999994</v>
      </c>
      <c r="C37" s="35" t="s">
        <v>390</v>
      </c>
      <c r="D37" s="65" t="s">
        <v>43</v>
      </c>
      <c r="E37" s="26">
        <v>4</v>
      </c>
      <c r="F37" s="27">
        <f>2814550*1.058*2</f>
        <v>5955587.8000000007</v>
      </c>
      <c r="G37" s="27">
        <f t="shared" si="0"/>
        <v>23822351.200000003</v>
      </c>
      <c r="H37" s="66"/>
      <c r="I37" s="28">
        <f t="shared" si="1"/>
        <v>0</v>
      </c>
      <c r="J37" s="29">
        <f t="shared" ref="J37" si="7">G37+I37</f>
        <v>23822351.200000003</v>
      </c>
    </row>
    <row r="38" spans="2:10" ht="13.5" thickBot="1" x14ac:dyDescent="0.25">
      <c r="B38" s="37">
        <f t="shared" si="3"/>
        <v>2.2899999999999938</v>
      </c>
      <c r="C38" s="118" t="s">
        <v>44</v>
      </c>
      <c r="D38" s="38" t="s">
        <v>43</v>
      </c>
      <c r="E38" s="39">
        <v>1</v>
      </c>
      <c r="F38" s="68">
        <v>9000000</v>
      </c>
      <c r="G38" s="40">
        <f t="shared" si="0"/>
        <v>9000000</v>
      </c>
      <c r="H38" s="41"/>
      <c r="I38" s="41">
        <f t="shared" si="1"/>
        <v>0</v>
      </c>
      <c r="J38" s="42">
        <f t="shared" si="2"/>
        <v>9000000</v>
      </c>
    </row>
    <row r="39" spans="2:10" ht="13.5" thickBot="1" x14ac:dyDescent="0.25"/>
    <row r="40" spans="2:10" ht="15.75" x14ac:dyDescent="0.2">
      <c r="F40" s="44"/>
      <c r="G40" s="45"/>
      <c r="H40" s="46" t="s">
        <v>45</v>
      </c>
      <c r="I40" s="47"/>
      <c r="J40" s="48">
        <f>SUM(J9:J38)</f>
        <v>486775340.32045132</v>
      </c>
    </row>
    <row r="41" spans="2:10" x14ac:dyDescent="0.2">
      <c r="F41" s="49" t="s">
        <v>46</v>
      </c>
      <c r="G41" s="50"/>
      <c r="H41" s="51"/>
      <c r="I41" s="52">
        <v>0.22</v>
      </c>
      <c r="J41" s="29">
        <f>J40*I41</f>
        <v>107090574.8704993</v>
      </c>
    </row>
    <row r="42" spans="2:10" x14ac:dyDescent="0.2">
      <c r="F42" s="49" t="s">
        <v>47</v>
      </c>
      <c r="G42" s="50"/>
      <c r="H42" s="51"/>
      <c r="I42" s="52">
        <v>0.04</v>
      </c>
      <c r="J42" s="29">
        <f>J40*I42</f>
        <v>19471013.612818055</v>
      </c>
    </row>
    <row r="43" spans="2:10" x14ac:dyDescent="0.2">
      <c r="F43" s="49" t="s">
        <v>48</v>
      </c>
      <c r="G43" s="50"/>
      <c r="H43" s="51"/>
      <c r="I43" s="52">
        <v>0.04</v>
      </c>
      <c r="J43" s="29">
        <f>J40*I43</f>
        <v>19471013.612818055</v>
      </c>
    </row>
    <row r="44" spans="2:10" x14ac:dyDescent="0.2">
      <c r="F44" s="49" t="s">
        <v>49</v>
      </c>
      <c r="G44" s="50"/>
      <c r="H44" s="51"/>
      <c r="I44" s="53"/>
      <c r="J44" s="29"/>
    </row>
    <row r="45" spans="2:10" x14ac:dyDescent="0.2">
      <c r="F45" s="49" t="s">
        <v>50</v>
      </c>
      <c r="G45" s="50"/>
      <c r="H45" s="51"/>
      <c r="I45" s="52">
        <v>0.19</v>
      </c>
      <c r="J45" s="29">
        <f>J43*I45</f>
        <v>3699492.5864354307</v>
      </c>
    </row>
    <row r="46" spans="2:10" x14ac:dyDescent="0.2">
      <c r="F46" s="54"/>
      <c r="G46" s="50"/>
      <c r="H46" s="51"/>
      <c r="I46" s="55"/>
      <c r="J46" s="29"/>
    </row>
    <row r="47" spans="2:10" ht="16.5" thickBot="1" x14ac:dyDescent="0.25">
      <c r="F47" s="56"/>
      <c r="G47" s="57"/>
      <c r="H47" s="58" t="s">
        <v>51</v>
      </c>
      <c r="I47" s="41"/>
      <c r="J47" s="59">
        <f>SUM(J40:J45)</f>
        <v>636507435.00302207</v>
      </c>
    </row>
  </sheetData>
  <mergeCells count="4">
    <mergeCell ref="F6:G6"/>
    <mergeCell ref="H6:I6"/>
    <mergeCell ref="B7:B8"/>
    <mergeCell ref="C7:C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C4ADC-BAF5-4296-A9A6-7B70EEA938D7}">
  <sheetPr>
    <tabColor rgb="FF92D050"/>
  </sheetPr>
  <dimension ref="B1:J42"/>
  <sheetViews>
    <sheetView zoomScale="85" zoomScaleNormal="85" workbookViewId="0"/>
  </sheetViews>
  <sheetFormatPr baseColWidth="10" defaultColWidth="12.625" defaultRowHeight="12.75" x14ac:dyDescent="0.2"/>
  <cols>
    <col min="1" max="1" width="5.125" style="30" customWidth="1"/>
    <col min="2" max="2" width="6.125" style="64" customWidth="1"/>
    <col min="3" max="3" width="60.625" style="30" customWidth="1"/>
    <col min="4" max="4" width="9.625" style="30" customWidth="1"/>
    <col min="5" max="5" width="9.625" style="62" customWidth="1"/>
    <col min="6" max="7" width="11.625" style="63" customWidth="1"/>
    <col min="8" max="9" width="11.625" style="62" customWidth="1"/>
    <col min="10" max="10" width="12.375" style="62" customWidth="1"/>
    <col min="11" max="16384" width="12.625" style="30"/>
  </cols>
  <sheetData>
    <row r="1" spans="2:10" s="2" customFormat="1" ht="15" x14ac:dyDescent="0.2">
      <c r="B1" s="8"/>
      <c r="E1" s="4"/>
      <c r="F1" s="5"/>
      <c r="G1" s="5"/>
      <c r="H1" s="4"/>
      <c r="I1" s="4"/>
      <c r="J1" s="4"/>
    </row>
    <row r="2" spans="2:10" s="2" customFormat="1" ht="15.75" x14ac:dyDescent="0.25">
      <c r="B2" s="1" t="s">
        <v>0</v>
      </c>
      <c r="D2" s="3"/>
      <c r="E2" s="4"/>
      <c r="F2" s="5"/>
      <c r="G2" s="5"/>
      <c r="H2" s="4"/>
      <c r="I2" s="4"/>
      <c r="J2" s="4"/>
    </row>
    <row r="3" spans="2:10" s="2" customFormat="1" ht="15.75" x14ac:dyDescent="0.25">
      <c r="B3" s="1" t="s">
        <v>1</v>
      </c>
      <c r="C3" s="5"/>
      <c r="D3" s="6" t="s">
        <v>2</v>
      </c>
      <c r="E3" s="4"/>
      <c r="F3" s="5"/>
      <c r="G3" s="5"/>
      <c r="H3" s="7"/>
      <c r="I3" s="4"/>
      <c r="J3" s="4"/>
    </row>
    <row r="4" spans="2:10" s="2" customFormat="1" ht="15.75" x14ac:dyDescent="0.25">
      <c r="B4" s="1" t="s">
        <v>361</v>
      </c>
      <c r="D4" s="3"/>
      <c r="E4" s="4"/>
      <c r="F4" s="5"/>
      <c r="G4" s="5"/>
      <c r="H4" s="4"/>
      <c r="I4" s="4"/>
      <c r="J4" s="4"/>
    </row>
    <row r="5" spans="2:10" s="2" customFormat="1" ht="15.75" thickBot="1" x14ac:dyDescent="0.25">
      <c r="B5" s="8"/>
      <c r="E5" s="4"/>
      <c r="F5" s="5"/>
      <c r="G5" s="5"/>
      <c r="H5" s="4"/>
      <c r="I5" s="4"/>
      <c r="J5" s="4"/>
    </row>
    <row r="6" spans="2:10" s="14" customFormat="1" ht="31.5" x14ac:dyDescent="0.25">
      <c r="B6" s="11" t="s">
        <v>3</v>
      </c>
      <c r="C6" s="12" t="s">
        <v>4</v>
      </c>
      <c r="D6" s="12" t="s">
        <v>5</v>
      </c>
      <c r="E6" s="12" t="s">
        <v>6</v>
      </c>
      <c r="F6" s="401" t="s">
        <v>7</v>
      </c>
      <c r="G6" s="401"/>
      <c r="H6" s="401" t="s">
        <v>8</v>
      </c>
      <c r="I6" s="401"/>
      <c r="J6" s="13" t="s">
        <v>9</v>
      </c>
    </row>
    <row r="7" spans="2:10" s="73" customFormat="1" ht="25.5" x14ac:dyDescent="0.2">
      <c r="B7" s="402">
        <v>3</v>
      </c>
      <c r="C7" s="404" t="s">
        <v>62</v>
      </c>
      <c r="D7" s="69"/>
      <c r="E7" s="70"/>
      <c r="F7" s="71" t="s">
        <v>11</v>
      </c>
      <c r="G7" s="71" t="s">
        <v>12</v>
      </c>
      <c r="H7" s="71" t="s">
        <v>11</v>
      </c>
      <c r="I7" s="71" t="s">
        <v>13</v>
      </c>
      <c r="J7" s="72" t="s">
        <v>14</v>
      </c>
    </row>
    <row r="8" spans="2:10" s="73" customFormat="1" ht="15.75" x14ac:dyDescent="0.2">
      <c r="B8" s="403"/>
      <c r="C8" s="405"/>
      <c r="D8" s="74"/>
      <c r="E8" s="169" t="s">
        <v>14</v>
      </c>
      <c r="F8" s="75" t="s">
        <v>15</v>
      </c>
      <c r="G8" s="75" t="s">
        <v>15</v>
      </c>
      <c r="H8" s="75" t="s">
        <v>15</v>
      </c>
      <c r="I8" s="75" t="s">
        <v>15</v>
      </c>
      <c r="J8" s="76" t="s">
        <v>15</v>
      </c>
    </row>
    <row r="9" spans="2:10" ht="25.5" x14ac:dyDescent="0.2">
      <c r="B9" s="23">
        <f>B7+0.01</f>
        <v>3.01</v>
      </c>
      <c r="C9" s="24" t="s">
        <v>63</v>
      </c>
      <c r="D9" s="25" t="s">
        <v>17</v>
      </c>
      <c r="E9" s="26">
        <v>28</v>
      </c>
      <c r="F9" s="27">
        <v>150644100.60000002</v>
      </c>
      <c r="G9" s="27">
        <f>E9*F9</f>
        <v>4218034816.8000007</v>
      </c>
      <c r="H9" s="28">
        <v>6607129.1320000002</v>
      </c>
      <c r="I9" s="28">
        <f>E9*H9</f>
        <v>184999615.69600001</v>
      </c>
      <c r="J9" s="29">
        <f>G9+I9</f>
        <v>4403034432.4960003</v>
      </c>
    </row>
    <row r="10" spans="2:10" ht="25.5" x14ac:dyDescent="0.2">
      <c r="B10" s="23">
        <f>B9+0.01</f>
        <v>3.0199999999999996</v>
      </c>
      <c r="C10" s="24" t="s">
        <v>64</v>
      </c>
      <c r="D10" s="25" t="s">
        <v>17</v>
      </c>
      <c r="E10" s="26">
        <v>0</v>
      </c>
      <c r="F10" s="32">
        <v>85404206</v>
      </c>
      <c r="G10" s="27">
        <f t="shared" ref="G10:G12" si="0">E10*F10</f>
        <v>0</v>
      </c>
      <c r="H10" s="32">
        <v>16903672.239999998</v>
      </c>
      <c r="I10" s="28">
        <f t="shared" ref="I10:I11" si="1">E10*H10</f>
        <v>0</v>
      </c>
      <c r="J10" s="32">
        <f t="shared" ref="J10:J33" si="2">G10+I10</f>
        <v>0</v>
      </c>
    </row>
    <row r="11" spans="2:10" ht="25.5" x14ac:dyDescent="0.2">
      <c r="B11" s="23">
        <f t="shared" ref="B11:B32" si="3">B10+0.01</f>
        <v>3.0299999999999994</v>
      </c>
      <c r="C11" s="24" t="s">
        <v>65</v>
      </c>
      <c r="D11" s="25" t="s">
        <v>17</v>
      </c>
      <c r="E11" s="26">
        <v>0</v>
      </c>
      <c r="F11" s="32">
        <v>1265020</v>
      </c>
      <c r="G11" s="27">
        <f t="shared" si="0"/>
        <v>0</v>
      </c>
      <c r="H11" s="28">
        <v>32378602.228</v>
      </c>
      <c r="I11" s="28">
        <f t="shared" si="1"/>
        <v>0</v>
      </c>
      <c r="J11" s="29">
        <f t="shared" si="2"/>
        <v>0</v>
      </c>
    </row>
    <row r="12" spans="2:10" x14ac:dyDescent="0.2">
      <c r="B12" s="23">
        <f t="shared" si="3"/>
        <v>3.0399999999999991</v>
      </c>
      <c r="C12" s="24" t="s">
        <v>365</v>
      </c>
      <c r="D12" s="25" t="s">
        <v>17</v>
      </c>
      <c r="E12" s="26">
        <v>28</v>
      </c>
      <c r="F12" s="32">
        <v>50935519.277058825</v>
      </c>
      <c r="G12" s="27">
        <f t="shared" si="0"/>
        <v>1426194539.757647</v>
      </c>
      <c r="H12" s="28">
        <v>6575759.8475396726</v>
      </c>
      <c r="I12" s="28">
        <f t="shared" ref="I12:I32" si="4">E12*H12</f>
        <v>184121275.73111084</v>
      </c>
      <c r="J12" s="29">
        <f t="shared" si="2"/>
        <v>1610315815.4887578</v>
      </c>
    </row>
    <row r="13" spans="2:10" ht="25.5" x14ac:dyDescent="0.2">
      <c r="B13" s="23">
        <f t="shared" si="3"/>
        <v>3.0499999999999989</v>
      </c>
      <c r="C13" s="24" t="s">
        <v>366</v>
      </c>
      <c r="D13" s="25" t="s">
        <v>17</v>
      </c>
      <c r="E13" s="26">
        <v>28</v>
      </c>
      <c r="F13" s="32">
        <v>1265020.9600000002</v>
      </c>
      <c r="G13" s="27">
        <f t="shared" ref="G13:G32" si="5">E13*F13</f>
        <v>35420586.880000003</v>
      </c>
      <c r="H13" s="28">
        <v>14097854.486900015</v>
      </c>
      <c r="I13" s="28">
        <f t="shared" si="4"/>
        <v>394739925.63320041</v>
      </c>
      <c r="J13" s="29">
        <f t="shared" si="2"/>
        <v>430160512.5132004</v>
      </c>
    </row>
    <row r="14" spans="2:10" ht="51" x14ac:dyDescent="0.2">
      <c r="B14" s="23">
        <f t="shared" si="3"/>
        <v>3.0599999999999987</v>
      </c>
      <c r="C14" s="34" t="s">
        <v>66</v>
      </c>
      <c r="D14" s="25" t="s">
        <v>17</v>
      </c>
      <c r="E14" s="26">
        <v>28</v>
      </c>
      <c r="F14" s="27">
        <v>5360021</v>
      </c>
      <c r="G14" s="27">
        <f t="shared" si="5"/>
        <v>150080588</v>
      </c>
      <c r="H14" s="28">
        <v>1439183.34</v>
      </c>
      <c r="I14" s="28">
        <f t="shared" si="4"/>
        <v>40297133.520000003</v>
      </c>
      <c r="J14" s="29">
        <f t="shared" si="2"/>
        <v>190377721.52000001</v>
      </c>
    </row>
    <row r="15" spans="2:10" ht="25.5" x14ac:dyDescent="0.2">
      <c r="B15" s="23">
        <f t="shared" si="3"/>
        <v>3.0699999999999985</v>
      </c>
      <c r="C15" s="24" t="s">
        <v>67</v>
      </c>
      <c r="D15" s="25" t="s">
        <v>17</v>
      </c>
      <c r="E15" s="26">
        <v>28</v>
      </c>
      <c r="F15" s="27">
        <v>12349335</v>
      </c>
      <c r="G15" s="27">
        <f t="shared" si="5"/>
        <v>345781380</v>
      </c>
      <c r="H15" s="28">
        <v>5437338.7960000001</v>
      </c>
      <c r="I15" s="28">
        <f t="shared" si="4"/>
        <v>152245486.28799999</v>
      </c>
      <c r="J15" s="29">
        <f t="shared" si="2"/>
        <v>498026866.28799999</v>
      </c>
    </row>
    <row r="16" spans="2:10" x14ac:dyDescent="0.2">
      <c r="B16" s="23">
        <f t="shared" si="3"/>
        <v>3.0799999999999983</v>
      </c>
      <c r="C16" s="24" t="s">
        <v>68</v>
      </c>
      <c r="D16" s="25" t="s">
        <v>17</v>
      </c>
      <c r="E16" s="26">
        <v>28</v>
      </c>
      <c r="F16" s="27">
        <v>5429786</v>
      </c>
      <c r="G16" s="27">
        <f t="shared" si="5"/>
        <v>152034008</v>
      </c>
      <c r="H16" s="28">
        <v>1713552.304</v>
      </c>
      <c r="I16" s="28">
        <f t="shared" si="4"/>
        <v>47979464.512000002</v>
      </c>
      <c r="J16" s="29">
        <f t="shared" si="2"/>
        <v>200013472.51199999</v>
      </c>
    </row>
    <row r="17" spans="2:10" ht="25.5" x14ac:dyDescent="0.2">
      <c r="B17" s="23">
        <f t="shared" si="3"/>
        <v>3.0899999999999981</v>
      </c>
      <c r="C17" s="24" t="s">
        <v>69</v>
      </c>
      <c r="D17" s="25" t="s">
        <v>17</v>
      </c>
      <c r="E17" s="26">
        <v>28</v>
      </c>
      <c r="F17" s="27">
        <v>4832728</v>
      </c>
      <c r="G17" s="27">
        <f t="shared" si="5"/>
        <v>135316384</v>
      </c>
      <c r="H17" s="28">
        <v>2682921.912</v>
      </c>
      <c r="I17" s="28">
        <f t="shared" si="4"/>
        <v>75121813.535999998</v>
      </c>
      <c r="J17" s="29">
        <f t="shared" si="2"/>
        <v>210438197.53600001</v>
      </c>
    </row>
    <row r="18" spans="2:10" x14ac:dyDescent="0.2">
      <c r="B18" s="23">
        <f t="shared" si="3"/>
        <v>3.0999999999999979</v>
      </c>
      <c r="C18" s="24" t="s">
        <v>70</v>
      </c>
      <c r="D18" s="25" t="s">
        <v>17</v>
      </c>
      <c r="E18" s="26">
        <v>28</v>
      </c>
      <c r="F18" s="27">
        <v>4656287</v>
      </c>
      <c r="G18" s="27">
        <f t="shared" si="5"/>
        <v>130376036</v>
      </c>
      <c r="H18" s="28">
        <v>1075857.2560000001</v>
      </c>
      <c r="I18" s="28">
        <f t="shared" si="4"/>
        <v>30124003.168000001</v>
      </c>
      <c r="J18" s="29">
        <f t="shared" si="2"/>
        <v>160500039.16800001</v>
      </c>
    </row>
    <row r="19" spans="2:10" x14ac:dyDescent="0.2">
      <c r="B19" s="23">
        <f t="shared" si="3"/>
        <v>3.1099999999999977</v>
      </c>
      <c r="C19" s="24" t="s">
        <v>71</v>
      </c>
      <c r="D19" s="25" t="s">
        <v>17</v>
      </c>
      <c r="E19" s="26">
        <v>28</v>
      </c>
      <c r="F19" s="27">
        <v>1265020</v>
      </c>
      <c r="G19" s="27">
        <f t="shared" si="5"/>
        <v>35420560</v>
      </c>
      <c r="H19" s="28">
        <v>527984.07200000004</v>
      </c>
      <c r="I19" s="28">
        <f t="shared" si="4"/>
        <v>14783554.016000001</v>
      </c>
      <c r="J19" s="29">
        <f t="shared" si="2"/>
        <v>50204114.016000003</v>
      </c>
    </row>
    <row r="20" spans="2:10" ht="25.5" x14ac:dyDescent="0.2">
      <c r="B20" s="23">
        <f t="shared" si="3"/>
        <v>3.1199999999999974</v>
      </c>
      <c r="C20" s="77" t="s">
        <v>72</v>
      </c>
      <c r="D20" s="25" t="s">
        <v>17</v>
      </c>
      <c r="E20" s="26">
        <v>28</v>
      </c>
      <c r="F20" s="27">
        <v>54408062</v>
      </c>
      <c r="G20" s="27">
        <f t="shared" si="5"/>
        <v>1523425736</v>
      </c>
      <c r="H20" s="28">
        <v>44766859.548</v>
      </c>
      <c r="I20" s="28">
        <f t="shared" si="4"/>
        <v>1253472067.3440001</v>
      </c>
      <c r="J20" s="29">
        <f t="shared" si="2"/>
        <v>2776897803.3439999</v>
      </c>
    </row>
    <row r="21" spans="2:10" x14ac:dyDescent="0.2">
      <c r="B21" s="23">
        <f t="shared" si="3"/>
        <v>3.1299999999999972</v>
      </c>
      <c r="C21" s="34" t="s">
        <v>33</v>
      </c>
      <c r="D21" s="25" t="s">
        <v>17</v>
      </c>
      <c r="E21" s="26">
        <v>28</v>
      </c>
      <c r="F21" s="27">
        <v>275560</v>
      </c>
      <c r="G21" s="27">
        <f t="shared" si="5"/>
        <v>7715680</v>
      </c>
      <c r="H21" s="28">
        <v>180620</v>
      </c>
      <c r="I21" s="28">
        <f t="shared" si="4"/>
        <v>5057360</v>
      </c>
      <c r="J21" s="29">
        <f t="shared" si="2"/>
        <v>12773040</v>
      </c>
    </row>
    <row r="22" spans="2:10" x14ac:dyDescent="0.2">
      <c r="B22" s="23">
        <f t="shared" si="3"/>
        <v>3.139999999999997</v>
      </c>
      <c r="C22" s="35" t="s">
        <v>34</v>
      </c>
      <c r="D22" s="25" t="s">
        <v>17</v>
      </c>
      <c r="E22" s="26">
        <v>56</v>
      </c>
      <c r="F22" s="27">
        <v>31385</v>
      </c>
      <c r="G22" s="27">
        <f t="shared" si="5"/>
        <v>1757560</v>
      </c>
      <c r="H22" s="28">
        <v>31603.894349247203</v>
      </c>
      <c r="I22" s="28">
        <f t="shared" si="4"/>
        <v>1769818.0835578432</v>
      </c>
      <c r="J22" s="29">
        <f t="shared" si="2"/>
        <v>3527378.0835578432</v>
      </c>
    </row>
    <row r="23" spans="2:10" ht="25.5" x14ac:dyDescent="0.2">
      <c r="B23" s="23">
        <f t="shared" si="3"/>
        <v>3.1499999999999968</v>
      </c>
      <c r="C23" s="36" t="s">
        <v>35</v>
      </c>
      <c r="D23" s="78" t="s">
        <v>17</v>
      </c>
      <c r="E23" s="26">
        <v>28</v>
      </c>
      <c r="F23" s="27">
        <v>192904</v>
      </c>
      <c r="G23" s="27">
        <f t="shared" si="5"/>
        <v>5401312</v>
      </c>
      <c r="H23" s="28">
        <v>170263</v>
      </c>
      <c r="I23" s="28">
        <f t="shared" si="4"/>
        <v>4767364</v>
      </c>
      <c r="J23" s="29">
        <f t="shared" si="2"/>
        <v>10168676</v>
      </c>
    </row>
    <row r="24" spans="2:10" ht="25.5" x14ac:dyDescent="0.2">
      <c r="B24" s="23">
        <f t="shared" si="3"/>
        <v>3.1599999999999966</v>
      </c>
      <c r="C24" s="34" t="s">
        <v>36</v>
      </c>
      <c r="D24" s="25" t="s">
        <v>17</v>
      </c>
      <c r="E24" s="26">
        <v>56</v>
      </c>
      <c r="F24" s="27">
        <v>962106</v>
      </c>
      <c r="G24" s="27">
        <f t="shared" si="5"/>
        <v>53877936</v>
      </c>
      <c r="H24" s="28">
        <v>817672.19688000006</v>
      </c>
      <c r="I24" s="28">
        <f t="shared" si="4"/>
        <v>45789643.025280006</v>
      </c>
      <c r="J24" s="29">
        <f t="shared" si="2"/>
        <v>99667579.025279999</v>
      </c>
    </row>
    <row r="25" spans="2:10" x14ac:dyDescent="0.2">
      <c r="B25" s="23">
        <f t="shared" si="3"/>
        <v>3.1699999999999964</v>
      </c>
      <c r="C25" s="36" t="s">
        <v>37</v>
      </c>
      <c r="D25" s="25" t="s">
        <v>17</v>
      </c>
      <c r="E25" s="26">
        <v>28</v>
      </c>
      <c r="F25" s="27">
        <v>455761</v>
      </c>
      <c r="G25" s="27">
        <f t="shared" si="5"/>
        <v>12761308</v>
      </c>
      <c r="H25" s="28">
        <v>97455</v>
      </c>
      <c r="I25" s="28">
        <f t="shared" si="4"/>
        <v>2728740</v>
      </c>
      <c r="J25" s="29">
        <f t="shared" si="2"/>
        <v>15490048</v>
      </c>
    </row>
    <row r="26" spans="2:10" x14ac:dyDescent="0.2">
      <c r="B26" s="23">
        <f t="shared" si="3"/>
        <v>3.1799999999999962</v>
      </c>
      <c r="C26" s="34" t="s">
        <v>38</v>
      </c>
      <c r="D26" s="25" t="s">
        <v>17</v>
      </c>
      <c r="E26" s="26">
        <v>112</v>
      </c>
      <c r="F26" s="27">
        <v>7418.4565171643308</v>
      </c>
      <c r="G26" s="27">
        <f t="shared" si="5"/>
        <v>830867.129922405</v>
      </c>
      <c r="H26" s="28">
        <v>2017.5034107997981</v>
      </c>
      <c r="I26" s="28">
        <f t="shared" si="4"/>
        <v>225960.38200957738</v>
      </c>
      <c r="J26" s="29">
        <f t="shared" si="2"/>
        <v>1056827.5119319824</v>
      </c>
    </row>
    <row r="27" spans="2:10" ht="25.5" x14ac:dyDescent="0.2">
      <c r="B27" s="23">
        <f t="shared" si="3"/>
        <v>3.1899999999999959</v>
      </c>
      <c r="C27" s="34" t="s">
        <v>39</v>
      </c>
      <c r="D27" s="25" t="s">
        <v>17</v>
      </c>
      <c r="E27" s="26">
        <v>28</v>
      </c>
      <c r="F27" s="27">
        <v>149435</v>
      </c>
      <c r="G27" s="27">
        <f t="shared" si="5"/>
        <v>4184180</v>
      </c>
      <c r="H27" s="28">
        <v>138607.71709633575</v>
      </c>
      <c r="I27" s="28">
        <f t="shared" si="4"/>
        <v>3881016.0786974011</v>
      </c>
      <c r="J27" s="29">
        <f t="shared" si="2"/>
        <v>8065196.0786974011</v>
      </c>
    </row>
    <row r="28" spans="2:10" ht="25.5" x14ac:dyDescent="0.2">
      <c r="B28" s="23">
        <f>B29+0.01</f>
        <v>3.2099999999999955</v>
      </c>
      <c r="C28" s="34" t="s">
        <v>40</v>
      </c>
      <c r="D28" s="25" t="s">
        <v>17</v>
      </c>
      <c r="E28" s="26">
        <v>28</v>
      </c>
      <c r="F28" s="27">
        <v>263833</v>
      </c>
      <c r="G28" s="27">
        <f t="shared" si="5"/>
        <v>7387324</v>
      </c>
      <c r="H28" s="28">
        <v>2265263.3868821794</v>
      </c>
      <c r="I28" s="28">
        <f t="shared" si="4"/>
        <v>63427374.832701027</v>
      </c>
      <c r="J28" s="29">
        <f t="shared" si="2"/>
        <v>70814698.832701027</v>
      </c>
    </row>
    <row r="29" spans="2:10" x14ac:dyDescent="0.2">
      <c r="B29" s="23">
        <f>B27+0.01</f>
        <v>3.1999999999999957</v>
      </c>
      <c r="C29" s="34" t="s">
        <v>41</v>
      </c>
      <c r="D29" s="25" t="s">
        <v>17</v>
      </c>
      <c r="E29" s="26">
        <v>336</v>
      </c>
      <c r="F29" s="27">
        <v>7441</v>
      </c>
      <c r="G29" s="27">
        <f t="shared" si="5"/>
        <v>2500176</v>
      </c>
      <c r="H29" s="28">
        <v>45514</v>
      </c>
      <c r="I29" s="28">
        <f t="shared" si="4"/>
        <v>15292704</v>
      </c>
      <c r="J29" s="29">
        <f>G29+I29</f>
        <v>17792880</v>
      </c>
    </row>
    <row r="30" spans="2:10" x14ac:dyDescent="0.2">
      <c r="B30" s="23">
        <f>B28+0.01</f>
        <v>3.2199999999999953</v>
      </c>
      <c r="C30" s="31" t="s">
        <v>73</v>
      </c>
      <c r="D30" s="25" t="s">
        <v>43</v>
      </c>
      <c r="E30" s="26">
        <v>28</v>
      </c>
      <c r="F30" s="27">
        <v>319476.85399999999</v>
      </c>
      <c r="G30" s="27">
        <f t="shared" si="5"/>
        <v>8945351.9120000005</v>
      </c>
      <c r="H30" s="28">
        <v>688534</v>
      </c>
      <c r="I30" s="28">
        <f t="shared" si="4"/>
        <v>19278952</v>
      </c>
      <c r="J30" s="29">
        <f t="shared" ref="J30:J31" si="6">G30+I30</f>
        <v>28224303.912</v>
      </c>
    </row>
    <row r="31" spans="2:10" x14ac:dyDescent="0.2">
      <c r="B31" s="23">
        <f t="shared" si="3"/>
        <v>3.2299999999999951</v>
      </c>
      <c r="C31" s="31" t="s">
        <v>74</v>
      </c>
      <c r="D31" s="25" t="s">
        <v>43</v>
      </c>
      <c r="E31" s="26">
        <v>28</v>
      </c>
      <c r="F31" s="27">
        <v>2977793.9000000004</v>
      </c>
      <c r="G31" s="27">
        <f t="shared" si="5"/>
        <v>83378229.200000018</v>
      </c>
      <c r="H31" s="28"/>
      <c r="I31" s="28">
        <f t="shared" si="4"/>
        <v>0</v>
      </c>
      <c r="J31" s="29">
        <f t="shared" si="6"/>
        <v>83378229.200000018</v>
      </c>
    </row>
    <row r="32" spans="2:10" x14ac:dyDescent="0.2">
      <c r="B32" s="170">
        <f t="shared" si="3"/>
        <v>3.2399999999999949</v>
      </c>
      <c r="C32" s="153" t="s">
        <v>44</v>
      </c>
      <c r="D32" s="168" t="s">
        <v>43</v>
      </c>
      <c r="E32" s="150">
        <v>1</v>
      </c>
      <c r="F32" s="146">
        <v>9000000</v>
      </c>
      <c r="G32" s="146">
        <f t="shared" si="5"/>
        <v>9000000</v>
      </c>
      <c r="H32" s="28"/>
      <c r="I32" s="147">
        <f t="shared" si="4"/>
        <v>0</v>
      </c>
      <c r="J32" s="148">
        <f t="shared" si="2"/>
        <v>9000000</v>
      </c>
    </row>
    <row r="33" spans="2:10" ht="27" customHeight="1" thickBot="1" x14ac:dyDescent="0.25">
      <c r="B33" s="37">
        <f>B32+0.01</f>
        <v>3.2499999999999947</v>
      </c>
      <c r="C33" s="171" t="s">
        <v>371</v>
      </c>
      <c r="D33" s="38" t="s">
        <v>17</v>
      </c>
      <c r="E33" s="39">
        <v>1</v>
      </c>
      <c r="F33" s="40"/>
      <c r="G33" s="40">
        <f t="shared" ref="G33" si="7">E33*F33</f>
        <v>0</v>
      </c>
      <c r="H33" s="41">
        <v>10350000</v>
      </c>
      <c r="I33" s="41">
        <f t="shared" ref="I33" si="8">E33*H33</f>
        <v>10350000</v>
      </c>
      <c r="J33" s="42">
        <f t="shared" si="2"/>
        <v>10350000</v>
      </c>
    </row>
    <row r="34" spans="2:10" ht="13.5" thickBot="1" x14ac:dyDescent="0.25"/>
    <row r="35" spans="2:10" ht="15.75" x14ac:dyDescent="0.2">
      <c r="F35" s="44"/>
      <c r="G35" s="45"/>
      <c r="H35" s="46" t="s">
        <v>45</v>
      </c>
      <c r="I35" s="47"/>
      <c r="J35" s="48">
        <f>SUM(J9:J33)</f>
        <v>10900277831.526129</v>
      </c>
    </row>
    <row r="36" spans="2:10" x14ac:dyDescent="0.2">
      <c r="F36" s="49" t="s">
        <v>46</v>
      </c>
      <c r="G36" s="50"/>
      <c r="H36" s="51"/>
      <c r="I36" s="52">
        <v>0.22</v>
      </c>
      <c r="J36" s="29">
        <f>J35*I36</f>
        <v>2398061122.9357486</v>
      </c>
    </row>
    <row r="37" spans="2:10" x14ac:dyDescent="0.2">
      <c r="F37" s="49" t="s">
        <v>47</v>
      </c>
      <c r="G37" s="50"/>
      <c r="H37" s="51"/>
      <c r="I37" s="52">
        <v>0.04</v>
      </c>
      <c r="J37" s="29">
        <f>J35*I37</f>
        <v>436011113.26104516</v>
      </c>
    </row>
    <row r="38" spans="2:10" x14ac:dyDescent="0.2">
      <c r="F38" s="49" t="s">
        <v>48</v>
      </c>
      <c r="G38" s="50"/>
      <c r="H38" s="51"/>
      <c r="I38" s="52">
        <v>0.04</v>
      </c>
      <c r="J38" s="29">
        <f>J35*I38</f>
        <v>436011113.26104516</v>
      </c>
    </row>
    <row r="39" spans="2:10" x14ac:dyDescent="0.2">
      <c r="F39" s="49" t="s">
        <v>49</v>
      </c>
      <c r="G39" s="50"/>
      <c r="H39" s="51"/>
      <c r="I39" s="53"/>
      <c r="J39" s="29"/>
    </row>
    <row r="40" spans="2:10" x14ac:dyDescent="0.2">
      <c r="F40" s="49" t="s">
        <v>50</v>
      </c>
      <c r="G40" s="50"/>
      <c r="H40" s="51"/>
      <c r="I40" s="52">
        <v>0.19</v>
      </c>
      <c r="J40" s="29">
        <f>J38*I40</f>
        <v>82842111.519598588</v>
      </c>
    </row>
    <row r="41" spans="2:10" x14ac:dyDescent="0.2">
      <c r="F41" s="54"/>
      <c r="G41" s="50"/>
      <c r="H41" s="51"/>
      <c r="I41" s="55"/>
      <c r="J41" s="29"/>
    </row>
    <row r="42" spans="2:10" ht="16.5" thickBot="1" x14ac:dyDescent="0.25">
      <c r="F42" s="56"/>
      <c r="G42" s="57"/>
      <c r="H42" s="58" t="s">
        <v>51</v>
      </c>
      <c r="I42" s="41"/>
      <c r="J42" s="59">
        <f>SUM(J35:J40)</f>
        <v>14253203292.503567</v>
      </c>
    </row>
  </sheetData>
  <mergeCells count="4">
    <mergeCell ref="F6:G6"/>
    <mergeCell ref="H6:I6"/>
    <mergeCell ref="B7:B8"/>
    <mergeCell ref="C7:C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4FAEE-11FF-4047-9ADE-F6D4A4E87ED8}">
  <sheetPr>
    <tabColor rgb="FF92D050"/>
  </sheetPr>
  <dimension ref="B1:J52"/>
  <sheetViews>
    <sheetView workbookViewId="0"/>
  </sheetViews>
  <sheetFormatPr baseColWidth="10" defaultColWidth="12.625" defaultRowHeight="12.75" x14ac:dyDescent="0.2"/>
  <cols>
    <col min="1" max="1" width="5.125" style="30" customWidth="1"/>
    <col min="2" max="2" width="6.125" style="64" customWidth="1"/>
    <col min="3" max="3" width="60.625" style="30" customWidth="1"/>
    <col min="4" max="4" width="9.625" style="30" customWidth="1"/>
    <col min="5" max="5" width="9.625" style="62" customWidth="1"/>
    <col min="6" max="7" width="11.625" style="63" customWidth="1"/>
    <col min="8" max="10" width="11.625" style="62" customWidth="1"/>
    <col min="11" max="16384" width="12.625" style="30"/>
  </cols>
  <sheetData>
    <row r="1" spans="2:10" s="2" customFormat="1" ht="15" x14ac:dyDescent="0.2">
      <c r="B1" s="8"/>
      <c r="E1" s="4"/>
      <c r="F1" s="5"/>
      <c r="G1" s="5"/>
      <c r="H1" s="4"/>
      <c r="I1" s="4"/>
      <c r="J1" s="4"/>
    </row>
    <row r="2" spans="2:10" s="2" customFormat="1" ht="15.75" x14ac:dyDescent="0.25">
      <c r="B2" s="1" t="s">
        <v>0</v>
      </c>
      <c r="D2" s="3"/>
      <c r="E2" s="4"/>
      <c r="F2" s="5"/>
      <c r="G2" s="5"/>
      <c r="H2" s="4"/>
      <c r="I2" s="4"/>
      <c r="J2" s="4"/>
    </row>
    <row r="3" spans="2:10" s="2" customFormat="1" ht="15.75" x14ac:dyDescent="0.25">
      <c r="B3" s="1" t="s">
        <v>1</v>
      </c>
      <c r="C3" s="5"/>
      <c r="D3" s="6" t="s">
        <v>2</v>
      </c>
      <c r="E3" s="4"/>
      <c r="F3" s="5"/>
      <c r="G3" s="5"/>
      <c r="H3" s="7"/>
      <c r="I3" s="4"/>
      <c r="J3" s="4"/>
    </row>
    <row r="4" spans="2:10" s="2" customFormat="1" ht="15.75" x14ac:dyDescent="0.25">
      <c r="B4" s="1" t="s">
        <v>361</v>
      </c>
      <c r="D4" s="3"/>
      <c r="E4" s="4"/>
      <c r="F4" s="5"/>
      <c r="G4" s="5"/>
      <c r="H4" s="4"/>
      <c r="I4" s="4"/>
      <c r="J4" s="4"/>
    </row>
    <row r="5" spans="2:10" s="2" customFormat="1" ht="15.75" thickBot="1" x14ac:dyDescent="0.25">
      <c r="B5" s="8"/>
      <c r="E5" s="4"/>
      <c r="F5" s="9"/>
      <c r="G5" s="5"/>
      <c r="H5" s="10"/>
      <c r="I5" s="4"/>
      <c r="J5" s="4"/>
    </row>
    <row r="6" spans="2:10" s="14" customFormat="1" ht="54.95" customHeight="1" x14ac:dyDescent="0.25">
      <c r="B6" s="11" t="s">
        <v>3</v>
      </c>
      <c r="C6" s="12" t="s">
        <v>4</v>
      </c>
      <c r="D6" s="12" t="s">
        <v>5</v>
      </c>
      <c r="E6" s="12" t="s">
        <v>6</v>
      </c>
      <c r="F6" s="400" t="s">
        <v>7</v>
      </c>
      <c r="G6" s="400"/>
      <c r="H6" s="401" t="s">
        <v>8</v>
      </c>
      <c r="I6" s="401"/>
      <c r="J6" s="13" t="s">
        <v>9</v>
      </c>
    </row>
    <row r="7" spans="2:10" s="19" customFormat="1" ht="27.75" customHeight="1" x14ac:dyDescent="0.2">
      <c r="B7" s="402">
        <v>4</v>
      </c>
      <c r="C7" s="404" t="s">
        <v>75</v>
      </c>
      <c r="D7" s="15"/>
      <c r="E7" s="16"/>
      <c r="F7" s="17" t="s">
        <v>11</v>
      </c>
      <c r="G7" s="17" t="s">
        <v>12</v>
      </c>
      <c r="H7" s="17" t="s">
        <v>11</v>
      </c>
      <c r="I7" s="17" t="s">
        <v>13</v>
      </c>
      <c r="J7" s="18" t="s">
        <v>14</v>
      </c>
    </row>
    <row r="8" spans="2:10" s="19" customFormat="1" ht="27.75" customHeight="1" x14ac:dyDescent="0.2">
      <c r="B8" s="403"/>
      <c r="C8" s="405"/>
      <c r="D8" s="20"/>
      <c r="E8" s="169" t="s">
        <v>14</v>
      </c>
      <c r="F8" s="21" t="s">
        <v>15</v>
      </c>
      <c r="G8" s="21" t="s">
        <v>15</v>
      </c>
      <c r="H8" s="21" t="s">
        <v>15</v>
      </c>
      <c r="I8" s="21" t="s">
        <v>15</v>
      </c>
      <c r="J8" s="22" t="s">
        <v>15</v>
      </c>
    </row>
    <row r="9" spans="2:10" x14ac:dyDescent="0.2">
      <c r="B9" s="23">
        <f>B7+0.01</f>
        <v>4.01</v>
      </c>
      <c r="C9" s="35" t="s">
        <v>76</v>
      </c>
      <c r="D9" s="65" t="s">
        <v>17</v>
      </c>
      <c r="E9" s="26">
        <v>8</v>
      </c>
      <c r="F9" s="32">
        <v>8786361</v>
      </c>
      <c r="G9" s="27">
        <f>E9*F9</f>
        <v>70290888</v>
      </c>
      <c r="H9" s="28"/>
      <c r="I9" s="28">
        <f>E9*H9</f>
        <v>0</v>
      </c>
      <c r="J9" s="29">
        <f>G9+I9</f>
        <v>70290888</v>
      </c>
    </row>
    <row r="10" spans="2:10" ht="75.75" customHeight="1" x14ac:dyDescent="0.2">
      <c r="B10" s="23">
        <f>B9+0.01</f>
        <v>4.0199999999999996</v>
      </c>
      <c r="C10" s="31" t="s">
        <v>77</v>
      </c>
      <c r="D10" s="65" t="s">
        <v>17</v>
      </c>
      <c r="E10" s="26">
        <v>8</v>
      </c>
      <c r="F10" s="32">
        <v>24952697.240000002</v>
      </c>
      <c r="G10" s="27">
        <f t="shared" ref="G10:G41" si="0">E10*F10</f>
        <v>199621577.92000002</v>
      </c>
      <c r="H10" s="28">
        <v>866300.96000000008</v>
      </c>
      <c r="I10" s="28">
        <f t="shared" ref="I10:I41" si="1">E10*H10</f>
        <v>6930407.6800000006</v>
      </c>
      <c r="J10" s="29">
        <f t="shared" ref="J10:J41" si="2">G10+I10</f>
        <v>206551985.60000002</v>
      </c>
    </row>
    <row r="11" spans="2:10" ht="63.75" x14ac:dyDescent="0.2">
      <c r="B11" s="23">
        <f t="shared" ref="B11:B41" si="3">B10+0.01</f>
        <v>4.0299999999999994</v>
      </c>
      <c r="C11" s="31" t="s">
        <v>78</v>
      </c>
      <c r="D11" s="65" t="s">
        <v>17</v>
      </c>
      <c r="E11" s="26">
        <v>8</v>
      </c>
      <c r="F11" s="32">
        <v>5257300</v>
      </c>
      <c r="G11" s="27">
        <f t="shared" si="0"/>
        <v>42058400</v>
      </c>
      <c r="H11" s="28">
        <v>610077.94400000002</v>
      </c>
      <c r="I11" s="28">
        <f t="shared" si="1"/>
        <v>4880623.5520000001</v>
      </c>
      <c r="J11" s="29">
        <f t="shared" si="2"/>
        <v>46939023.552000001</v>
      </c>
    </row>
    <row r="12" spans="2:10" x14ac:dyDescent="0.2">
      <c r="B12" s="23">
        <f t="shared" si="3"/>
        <v>4.0399999999999991</v>
      </c>
      <c r="C12" s="35" t="s">
        <v>79</v>
      </c>
      <c r="D12" s="65" t="s">
        <v>17</v>
      </c>
      <c r="E12" s="26">
        <v>8</v>
      </c>
      <c r="F12" s="32">
        <v>5288081.8459999999</v>
      </c>
      <c r="G12" s="27">
        <f t="shared" si="0"/>
        <v>42304654.767999999</v>
      </c>
      <c r="H12" s="28">
        <v>2487278.3160000001</v>
      </c>
      <c r="I12" s="28">
        <f t="shared" si="1"/>
        <v>19898226.528000001</v>
      </c>
      <c r="J12" s="29">
        <f t="shared" si="2"/>
        <v>62202881.296000004</v>
      </c>
    </row>
    <row r="13" spans="2:10" x14ac:dyDescent="0.2">
      <c r="B13" s="23">
        <f t="shared" si="3"/>
        <v>4.0499999999999989</v>
      </c>
      <c r="C13" s="35" t="s">
        <v>80</v>
      </c>
      <c r="D13" s="65" t="s">
        <v>17</v>
      </c>
      <c r="E13" s="26">
        <v>8</v>
      </c>
      <c r="F13" s="27"/>
      <c r="G13" s="27">
        <f t="shared" si="0"/>
        <v>0</v>
      </c>
      <c r="H13" s="28">
        <v>3609587.6840000004</v>
      </c>
      <c r="I13" s="28">
        <f t="shared" si="1"/>
        <v>28876701.472000003</v>
      </c>
      <c r="J13" s="29">
        <f t="shared" si="2"/>
        <v>28876701.472000003</v>
      </c>
    </row>
    <row r="14" spans="2:10" ht="25.5" x14ac:dyDescent="0.2">
      <c r="B14" s="23">
        <f t="shared" si="3"/>
        <v>4.0599999999999987</v>
      </c>
      <c r="C14" s="35" t="s">
        <v>81</v>
      </c>
      <c r="D14" s="65" t="s">
        <v>17</v>
      </c>
      <c r="E14" s="26">
        <v>8</v>
      </c>
      <c r="F14" s="27">
        <v>35374700</v>
      </c>
      <c r="G14" s="27">
        <f t="shared" si="0"/>
        <v>282997600</v>
      </c>
      <c r="H14" s="28"/>
      <c r="I14" s="28">
        <f t="shared" si="1"/>
        <v>0</v>
      </c>
      <c r="J14" s="29">
        <f t="shared" si="2"/>
        <v>282997600</v>
      </c>
    </row>
    <row r="15" spans="2:10" ht="25.5" x14ac:dyDescent="0.2">
      <c r="B15" s="23">
        <f t="shared" si="3"/>
        <v>4.0699999999999985</v>
      </c>
      <c r="C15" s="35" t="s">
        <v>82</v>
      </c>
      <c r="D15" s="65" t="s">
        <v>17</v>
      </c>
      <c r="E15" s="26">
        <v>8</v>
      </c>
      <c r="F15" s="32">
        <v>5288081.8459999999</v>
      </c>
      <c r="G15" s="27">
        <f t="shared" si="0"/>
        <v>42304654.767999999</v>
      </c>
      <c r="H15" s="28">
        <v>2487278.3160000001</v>
      </c>
      <c r="I15" s="28">
        <f t="shared" si="1"/>
        <v>19898226.528000001</v>
      </c>
      <c r="J15" s="29">
        <f t="shared" si="2"/>
        <v>62202881.296000004</v>
      </c>
    </row>
    <row r="16" spans="2:10" ht="25.5" x14ac:dyDescent="0.2">
      <c r="B16" s="23">
        <f t="shared" si="3"/>
        <v>4.0799999999999983</v>
      </c>
      <c r="C16" s="35" t="s">
        <v>83</v>
      </c>
      <c r="D16" s="65" t="s">
        <v>17</v>
      </c>
      <c r="E16" s="26">
        <v>8</v>
      </c>
      <c r="F16" s="27"/>
      <c r="G16" s="27">
        <f t="shared" si="0"/>
        <v>0</v>
      </c>
      <c r="H16" s="28">
        <v>3609587.6840000004</v>
      </c>
      <c r="I16" s="28">
        <f t="shared" si="1"/>
        <v>28876701.472000003</v>
      </c>
      <c r="J16" s="29">
        <f t="shared" si="2"/>
        <v>28876701.472000003</v>
      </c>
    </row>
    <row r="17" spans="2:10" x14ac:dyDescent="0.2">
      <c r="B17" s="23">
        <f t="shared" si="3"/>
        <v>4.0899999999999981</v>
      </c>
      <c r="C17" s="35" t="s">
        <v>84</v>
      </c>
      <c r="D17" s="65" t="s">
        <v>17</v>
      </c>
      <c r="E17" s="26">
        <v>8</v>
      </c>
      <c r="F17" s="27">
        <v>42967431.462000005</v>
      </c>
      <c r="G17" s="27">
        <f t="shared" si="0"/>
        <v>343739451.69600004</v>
      </c>
      <c r="H17" s="28">
        <v>1443835.284</v>
      </c>
      <c r="I17" s="28">
        <f t="shared" si="1"/>
        <v>11550682.272</v>
      </c>
      <c r="J17" s="29">
        <f t="shared" si="2"/>
        <v>355290133.96800005</v>
      </c>
    </row>
    <row r="18" spans="2:10" x14ac:dyDescent="0.2">
      <c r="B18" s="23">
        <f t="shared" si="3"/>
        <v>4.0999999999999979</v>
      </c>
      <c r="C18" s="35" t="s">
        <v>85</v>
      </c>
      <c r="D18" s="65" t="s">
        <v>17</v>
      </c>
      <c r="E18" s="26">
        <v>8</v>
      </c>
      <c r="F18" s="27">
        <v>5451449.7420000006</v>
      </c>
      <c r="G18" s="27">
        <f t="shared" si="0"/>
        <v>43611597.936000004</v>
      </c>
      <c r="H18" s="28">
        <v>1815945.568</v>
      </c>
      <c r="I18" s="28">
        <f t="shared" si="1"/>
        <v>14527564.544</v>
      </c>
      <c r="J18" s="29">
        <f t="shared" si="2"/>
        <v>58139162.480000004</v>
      </c>
    </row>
    <row r="19" spans="2:10" x14ac:dyDescent="0.2">
      <c r="B19" s="23">
        <f t="shared" si="3"/>
        <v>4.1099999999999977</v>
      </c>
      <c r="C19" s="35" t="s">
        <v>86</v>
      </c>
      <c r="D19" s="65" t="s">
        <v>17</v>
      </c>
      <c r="E19" s="26">
        <v>8</v>
      </c>
      <c r="F19" s="27"/>
      <c r="G19" s="27">
        <f t="shared" si="0"/>
        <v>0</v>
      </c>
      <c r="H19" s="28">
        <v>3609587.6840000004</v>
      </c>
      <c r="I19" s="28">
        <f t="shared" si="1"/>
        <v>28876701.472000003</v>
      </c>
      <c r="J19" s="29">
        <f t="shared" si="2"/>
        <v>28876701.472000003</v>
      </c>
    </row>
    <row r="20" spans="2:10" x14ac:dyDescent="0.2">
      <c r="B20" s="23">
        <f t="shared" si="3"/>
        <v>4.1199999999999974</v>
      </c>
      <c r="C20" s="35" t="s">
        <v>87</v>
      </c>
      <c r="D20" s="65" t="s">
        <v>17</v>
      </c>
      <c r="E20" s="26">
        <v>8</v>
      </c>
      <c r="F20" s="27">
        <v>40904016.178000003</v>
      </c>
      <c r="G20" s="27">
        <f t="shared" si="0"/>
        <v>327232129.42400002</v>
      </c>
      <c r="H20" s="28">
        <v>6169262.5360000003</v>
      </c>
      <c r="I20" s="28">
        <f t="shared" si="1"/>
        <v>49354100.288000003</v>
      </c>
      <c r="J20" s="29">
        <f t="shared" si="2"/>
        <v>376586229.71200001</v>
      </c>
    </row>
    <row r="21" spans="2:10" x14ac:dyDescent="0.2">
      <c r="B21" s="23">
        <f t="shared" si="3"/>
        <v>4.1299999999999972</v>
      </c>
      <c r="C21" s="35" t="s">
        <v>88</v>
      </c>
      <c r="D21" s="65" t="s">
        <v>17</v>
      </c>
      <c r="E21" s="26">
        <v>8</v>
      </c>
      <c r="F21" s="32">
        <v>1265020</v>
      </c>
      <c r="G21" s="27">
        <f t="shared" si="0"/>
        <v>10120160</v>
      </c>
      <c r="H21" s="28">
        <v>32378602.228</v>
      </c>
      <c r="I21" s="28">
        <f t="shared" si="1"/>
        <v>259028817.824</v>
      </c>
      <c r="J21" s="29">
        <f t="shared" si="2"/>
        <v>269148977.824</v>
      </c>
    </row>
    <row r="22" spans="2:10" x14ac:dyDescent="0.2">
      <c r="B22" s="23">
        <f t="shared" si="3"/>
        <v>4.139999999999997</v>
      </c>
      <c r="C22" s="31" t="s">
        <v>89</v>
      </c>
      <c r="D22" s="65" t="s">
        <v>17</v>
      </c>
      <c r="E22" s="26">
        <v>8</v>
      </c>
      <c r="F22" s="32">
        <v>1675618.08</v>
      </c>
      <c r="G22" s="27">
        <f t="shared" si="0"/>
        <v>13404944.640000001</v>
      </c>
      <c r="H22" s="28">
        <v>8250499.3599999994</v>
      </c>
      <c r="I22" s="28">
        <f t="shared" si="1"/>
        <v>66003994.879999995</v>
      </c>
      <c r="J22" s="29">
        <f t="shared" si="2"/>
        <v>79408939.519999996</v>
      </c>
    </row>
    <row r="23" spans="2:10" x14ac:dyDescent="0.2">
      <c r="B23" s="23">
        <f t="shared" si="3"/>
        <v>4.1499999999999968</v>
      </c>
      <c r="C23" s="31" t="s">
        <v>90</v>
      </c>
      <c r="D23" s="65" t="s">
        <v>17</v>
      </c>
      <c r="E23" s="26">
        <v>8</v>
      </c>
      <c r="F23" s="32">
        <v>1177395.3</v>
      </c>
      <c r="G23" s="27">
        <f t="shared" si="0"/>
        <v>9419162.4000000004</v>
      </c>
      <c r="H23" s="28">
        <v>454842.72</v>
      </c>
      <c r="I23" s="28">
        <f t="shared" si="1"/>
        <v>3638741.76</v>
      </c>
      <c r="J23" s="29">
        <f t="shared" si="2"/>
        <v>13057904.16</v>
      </c>
    </row>
    <row r="24" spans="2:10" x14ac:dyDescent="0.2">
      <c r="B24" s="23">
        <f t="shared" si="3"/>
        <v>4.1599999999999966</v>
      </c>
      <c r="C24" s="31" t="s">
        <v>91</v>
      </c>
      <c r="D24" s="65" t="s">
        <v>17</v>
      </c>
      <c r="E24" s="26">
        <v>8</v>
      </c>
      <c r="F24" s="32">
        <v>536279.04000000004</v>
      </c>
      <c r="G24" s="27">
        <f t="shared" si="0"/>
        <v>4290232.3200000003</v>
      </c>
      <c r="H24" s="28">
        <v>4476.26</v>
      </c>
      <c r="I24" s="28">
        <f t="shared" si="1"/>
        <v>35810.080000000002</v>
      </c>
      <c r="J24" s="29">
        <f t="shared" si="2"/>
        <v>4326042.4000000004</v>
      </c>
    </row>
    <row r="25" spans="2:10" x14ac:dyDescent="0.2">
      <c r="B25" s="23">
        <f t="shared" si="3"/>
        <v>4.1699999999999964</v>
      </c>
      <c r="C25" s="31" t="s">
        <v>92</v>
      </c>
      <c r="D25" s="65" t="s">
        <v>17</v>
      </c>
      <c r="E25" s="26">
        <v>8</v>
      </c>
      <c r="F25" s="32">
        <v>29114139</v>
      </c>
      <c r="G25" s="27">
        <f t="shared" si="0"/>
        <v>232913112</v>
      </c>
      <c r="H25" s="28">
        <v>4388231.7960000001</v>
      </c>
      <c r="I25" s="28">
        <f t="shared" si="1"/>
        <v>35105854.368000001</v>
      </c>
      <c r="J25" s="29">
        <f t="shared" si="2"/>
        <v>268018966.368</v>
      </c>
    </row>
    <row r="26" spans="2:10" x14ac:dyDescent="0.2">
      <c r="B26" s="23">
        <f t="shared" si="3"/>
        <v>4.1799999999999962</v>
      </c>
      <c r="C26" s="31" t="s">
        <v>25</v>
      </c>
      <c r="D26" s="65" t="s">
        <v>17</v>
      </c>
      <c r="E26" s="26">
        <v>8</v>
      </c>
      <c r="F26" s="32"/>
      <c r="G26" s="27">
        <f t="shared" si="0"/>
        <v>0</v>
      </c>
      <c r="H26" s="28"/>
      <c r="I26" s="28">
        <f t="shared" si="1"/>
        <v>0</v>
      </c>
      <c r="J26" s="29">
        <f t="shared" si="2"/>
        <v>0</v>
      </c>
    </row>
    <row r="27" spans="2:10" x14ac:dyDescent="0.2">
      <c r="B27" s="23">
        <f t="shared" si="3"/>
        <v>4.1899999999999959</v>
      </c>
      <c r="C27" s="31" t="s">
        <v>93</v>
      </c>
      <c r="D27" s="65" t="s">
        <v>17</v>
      </c>
      <c r="E27" s="26">
        <v>8</v>
      </c>
      <c r="F27" s="32"/>
      <c r="G27" s="27">
        <f t="shared" si="0"/>
        <v>0</v>
      </c>
      <c r="H27" s="28"/>
      <c r="I27" s="28">
        <f t="shared" si="1"/>
        <v>0</v>
      </c>
      <c r="J27" s="29">
        <f t="shared" si="2"/>
        <v>0</v>
      </c>
    </row>
    <row r="28" spans="2:10" x14ac:dyDescent="0.2">
      <c r="B28" s="23">
        <f t="shared" si="3"/>
        <v>4.1999999999999957</v>
      </c>
      <c r="C28" s="31" t="s">
        <v>27</v>
      </c>
      <c r="D28" s="65" t="s">
        <v>17</v>
      </c>
      <c r="E28" s="26">
        <v>8</v>
      </c>
      <c r="F28" s="32"/>
      <c r="G28" s="27">
        <f t="shared" si="0"/>
        <v>0</v>
      </c>
      <c r="H28" s="28"/>
      <c r="I28" s="28">
        <f t="shared" si="1"/>
        <v>0</v>
      </c>
      <c r="J28" s="29">
        <f t="shared" si="2"/>
        <v>0</v>
      </c>
    </row>
    <row r="29" spans="2:10" ht="30.75" customHeight="1" x14ac:dyDescent="0.2">
      <c r="B29" s="23">
        <f t="shared" si="3"/>
        <v>4.2099999999999955</v>
      </c>
      <c r="C29" s="31" t="s">
        <v>69</v>
      </c>
      <c r="D29" s="65" t="s">
        <v>17</v>
      </c>
      <c r="E29" s="26">
        <v>8</v>
      </c>
      <c r="F29" s="27">
        <v>4832728</v>
      </c>
      <c r="G29" s="27">
        <f t="shared" si="0"/>
        <v>38661824</v>
      </c>
      <c r="H29" s="28">
        <v>2682921.912</v>
      </c>
      <c r="I29" s="28">
        <f t="shared" si="1"/>
        <v>21463375.296</v>
      </c>
      <c r="J29" s="29">
        <f t="shared" si="2"/>
        <v>60125199.296000004</v>
      </c>
    </row>
    <row r="30" spans="2:10" ht="30.75" customHeight="1" x14ac:dyDescent="0.2">
      <c r="B30" s="23">
        <f t="shared" si="3"/>
        <v>4.2199999999999953</v>
      </c>
      <c r="C30" s="31" t="s">
        <v>73</v>
      </c>
      <c r="D30" s="65" t="s">
        <v>43</v>
      </c>
      <c r="E30" s="26">
        <v>8</v>
      </c>
      <c r="F30" s="27">
        <v>638953.70799999998</v>
      </c>
      <c r="G30" s="27">
        <f t="shared" si="0"/>
        <v>5111629.6639999999</v>
      </c>
      <c r="H30" s="28">
        <v>1377068</v>
      </c>
      <c r="I30" s="28">
        <f t="shared" si="1"/>
        <v>11016544</v>
      </c>
      <c r="J30" s="29">
        <f t="shared" si="2"/>
        <v>16128173.664000001</v>
      </c>
    </row>
    <row r="31" spans="2:10" x14ac:dyDescent="0.2">
      <c r="B31" s="23">
        <f t="shared" si="3"/>
        <v>4.2299999999999951</v>
      </c>
      <c r="C31" s="34" t="s">
        <v>33</v>
      </c>
      <c r="D31" s="65" t="s">
        <v>17</v>
      </c>
      <c r="E31" s="26">
        <v>8</v>
      </c>
      <c r="F31" s="27">
        <v>275560</v>
      </c>
      <c r="G31" s="27">
        <f t="shared" si="0"/>
        <v>2204480</v>
      </c>
      <c r="H31" s="28">
        <v>180620</v>
      </c>
      <c r="I31" s="28">
        <f t="shared" si="1"/>
        <v>1444960</v>
      </c>
      <c r="J31" s="29">
        <f t="shared" si="2"/>
        <v>3649440</v>
      </c>
    </row>
    <row r="32" spans="2:10" x14ac:dyDescent="0.2">
      <c r="B32" s="23">
        <f t="shared" si="3"/>
        <v>4.2399999999999949</v>
      </c>
      <c r="C32" s="35" t="s">
        <v>34</v>
      </c>
      <c r="D32" s="65" t="s">
        <v>17</v>
      </c>
      <c r="E32" s="26">
        <v>16</v>
      </c>
      <c r="F32" s="27">
        <v>31385</v>
      </c>
      <c r="G32" s="27">
        <f t="shared" si="0"/>
        <v>502160</v>
      </c>
      <c r="H32" s="28">
        <v>31603.894349247203</v>
      </c>
      <c r="I32" s="28">
        <f t="shared" si="1"/>
        <v>505662.30958795524</v>
      </c>
      <c r="J32" s="29">
        <f>G32+I32</f>
        <v>1007822.3095879552</v>
      </c>
    </row>
    <row r="33" spans="2:10" ht="27" customHeight="1" x14ac:dyDescent="0.2">
      <c r="B33" s="23">
        <f t="shared" si="3"/>
        <v>4.2499999999999947</v>
      </c>
      <c r="C33" s="36" t="s">
        <v>35</v>
      </c>
      <c r="D33" s="78" t="s">
        <v>17</v>
      </c>
      <c r="E33" s="26">
        <v>8</v>
      </c>
      <c r="F33" s="27">
        <v>192904</v>
      </c>
      <c r="G33" s="27">
        <f t="shared" si="0"/>
        <v>1543232</v>
      </c>
      <c r="H33" s="28">
        <v>170263</v>
      </c>
      <c r="I33" s="28">
        <f t="shared" si="1"/>
        <v>1362104</v>
      </c>
      <c r="J33" s="29">
        <f t="shared" si="2"/>
        <v>2905336</v>
      </c>
    </row>
    <row r="34" spans="2:10" ht="25.5" x14ac:dyDescent="0.2">
      <c r="B34" s="23">
        <f t="shared" si="3"/>
        <v>4.2599999999999945</v>
      </c>
      <c r="C34" s="34" t="s">
        <v>36</v>
      </c>
      <c r="D34" s="65" t="s">
        <v>17</v>
      </c>
      <c r="E34" s="26">
        <v>16</v>
      </c>
      <c r="F34" s="27">
        <v>962106</v>
      </c>
      <c r="G34" s="27">
        <f t="shared" si="0"/>
        <v>15393696</v>
      </c>
      <c r="H34" s="28">
        <v>817672.19688000006</v>
      </c>
      <c r="I34" s="28">
        <f t="shared" si="1"/>
        <v>13082755.150080001</v>
      </c>
      <c r="J34" s="29">
        <f t="shared" si="2"/>
        <v>28476451.150080003</v>
      </c>
    </row>
    <row r="35" spans="2:10" x14ac:dyDescent="0.2">
      <c r="B35" s="23">
        <f t="shared" si="3"/>
        <v>4.2699999999999942</v>
      </c>
      <c r="C35" s="36" t="s">
        <v>37</v>
      </c>
      <c r="D35" s="25" t="s">
        <v>17</v>
      </c>
      <c r="E35" s="26">
        <v>8</v>
      </c>
      <c r="F35" s="27">
        <v>455761</v>
      </c>
      <c r="G35" s="27">
        <f t="shared" si="0"/>
        <v>3646088</v>
      </c>
      <c r="H35" s="28">
        <v>97455</v>
      </c>
      <c r="I35" s="28">
        <f t="shared" si="1"/>
        <v>779640</v>
      </c>
      <c r="J35" s="29">
        <f t="shared" si="2"/>
        <v>4425728</v>
      </c>
    </row>
    <row r="36" spans="2:10" x14ac:dyDescent="0.2">
      <c r="B36" s="23">
        <f t="shared" si="3"/>
        <v>4.279999999999994</v>
      </c>
      <c r="C36" s="34" t="s">
        <v>38</v>
      </c>
      <c r="D36" s="65" t="s">
        <v>17</v>
      </c>
      <c r="E36" s="26">
        <v>32</v>
      </c>
      <c r="F36" s="27">
        <v>7418.4565171643308</v>
      </c>
      <c r="G36" s="27">
        <f t="shared" si="0"/>
        <v>237390.60854925858</v>
      </c>
      <c r="H36" s="28">
        <v>2017.5034107997981</v>
      </c>
      <c r="I36" s="28">
        <f t="shared" si="1"/>
        <v>64560.109145593538</v>
      </c>
      <c r="J36" s="29">
        <f t="shared" si="2"/>
        <v>301950.71769485215</v>
      </c>
    </row>
    <row r="37" spans="2:10" ht="25.5" x14ac:dyDescent="0.2">
      <c r="B37" s="23">
        <f t="shared" si="3"/>
        <v>4.2899999999999938</v>
      </c>
      <c r="C37" s="34" t="s">
        <v>39</v>
      </c>
      <c r="D37" s="65" t="s">
        <v>17</v>
      </c>
      <c r="E37" s="26">
        <v>8</v>
      </c>
      <c r="F37" s="27">
        <v>149435</v>
      </c>
      <c r="G37" s="27">
        <f t="shared" si="0"/>
        <v>1195480</v>
      </c>
      <c r="H37" s="28">
        <v>138607.71709633575</v>
      </c>
      <c r="I37" s="28">
        <f t="shared" si="1"/>
        <v>1108861.736770686</v>
      </c>
      <c r="J37" s="29">
        <f t="shared" si="2"/>
        <v>2304341.7367706858</v>
      </c>
    </row>
    <row r="38" spans="2:10" ht="25.5" x14ac:dyDescent="0.2">
      <c r="B38" s="23">
        <f>B39+0.01</f>
        <v>4.3099999999999934</v>
      </c>
      <c r="C38" s="34" t="s">
        <v>40</v>
      </c>
      <c r="D38" s="65" t="s">
        <v>17</v>
      </c>
      <c r="E38" s="26">
        <v>8</v>
      </c>
      <c r="F38" s="27">
        <v>263833</v>
      </c>
      <c r="G38" s="27">
        <f t="shared" si="0"/>
        <v>2110664</v>
      </c>
      <c r="H38" s="28">
        <v>2265263.3868821794</v>
      </c>
      <c r="I38" s="28">
        <f t="shared" si="1"/>
        <v>18122107.095057435</v>
      </c>
      <c r="J38" s="29">
        <f t="shared" si="2"/>
        <v>20232771.095057435</v>
      </c>
    </row>
    <row r="39" spans="2:10" x14ac:dyDescent="0.2">
      <c r="B39" s="23">
        <f>B37+0.01</f>
        <v>4.2999999999999936</v>
      </c>
      <c r="C39" s="34" t="s">
        <v>41</v>
      </c>
      <c r="D39" s="65" t="s">
        <v>17</v>
      </c>
      <c r="E39" s="26">
        <v>96</v>
      </c>
      <c r="F39" s="27">
        <v>7441</v>
      </c>
      <c r="G39" s="27">
        <f t="shared" si="0"/>
        <v>714336</v>
      </c>
      <c r="H39" s="28">
        <v>45514</v>
      </c>
      <c r="I39" s="28">
        <f t="shared" si="1"/>
        <v>4369344</v>
      </c>
      <c r="J39" s="29">
        <f>G39+I39</f>
        <v>5083680</v>
      </c>
    </row>
    <row r="40" spans="2:10" x14ac:dyDescent="0.2">
      <c r="B40" s="23">
        <f>B38+0.01</f>
        <v>4.3199999999999932</v>
      </c>
      <c r="C40" s="31" t="s">
        <v>74</v>
      </c>
      <c r="D40" s="65" t="s">
        <v>43</v>
      </c>
      <c r="E40" s="26">
        <v>8</v>
      </c>
      <c r="F40" s="27">
        <v>2977793.9000000004</v>
      </c>
      <c r="G40" s="27">
        <f t="shared" si="0"/>
        <v>23822351.200000003</v>
      </c>
      <c r="H40" s="66"/>
      <c r="I40" s="28">
        <f t="shared" si="1"/>
        <v>0</v>
      </c>
      <c r="J40" s="29">
        <f t="shared" ref="J40" si="4">G40+I40</f>
        <v>23822351.200000003</v>
      </c>
    </row>
    <row r="41" spans="2:10" ht="13.5" thickBot="1" x14ac:dyDescent="0.25">
      <c r="B41" s="37">
        <f t="shared" si="3"/>
        <v>4.329999999999993</v>
      </c>
      <c r="C41" s="67" t="s">
        <v>44</v>
      </c>
      <c r="D41" s="79" t="s">
        <v>43</v>
      </c>
      <c r="E41" s="39">
        <v>1</v>
      </c>
      <c r="F41" s="68">
        <v>9000000</v>
      </c>
      <c r="G41" s="40">
        <f t="shared" si="0"/>
        <v>9000000</v>
      </c>
      <c r="H41" s="41"/>
      <c r="I41" s="41">
        <f t="shared" si="1"/>
        <v>0</v>
      </c>
      <c r="J41" s="42">
        <f t="shared" si="2"/>
        <v>9000000</v>
      </c>
    </row>
    <row r="42" spans="2:10" ht="13.5" thickBot="1" x14ac:dyDescent="0.25"/>
    <row r="43" spans="2:10" ht="15.75" x14ac:dyDescent="0.2">
      <c r="F43" s="44"/>
      <c r="G43" s="45"/>
      <c r="H43" s="46" t="s">
        <v>45</v>
      </c>
      <c r="I43" s="47"/>
      <c r="J43" s="48">
        <f>SUM(J9:J41)</f>
        <v>2419254965.7611909</v>
      </c>
    </row>
    <row r="44" spans="2:10" x14ac:dyDescent="0.2">
      <c r="F44" s="49" t="s">
        <v>46</v>
      </c>
      <c r="G44" s="50"/>
      <c r="H44" s="51"/>
      <c r="I44" s="52">
        <v>0.22</v>
      </c>
      <c r="J44" s="29">
        <f>J43*I44</f>
        <v>532236092.467462</v>
      </c>
    </row>
    <row r="45" spans="2:10" x14ac:dyDescent="0.2">
      <c r="F45" s="49" t="s">
        <v>47</v>
      </c>
      <c r="G45" s="50"/>
      <c r="H45" s="51"/>
      <c r="I45" s="52">
        <v>0.04</v>
      </c>
      <c r="J45" s="29">
        <f>J43*I45</f>
        <v>96770198.630447641</v>
      </c>
    </row>
    <row r="46" spans="2:10" x14ac:dyDescent="0.2">
      <c r="F46" s="49" t="s">
        <v>48</v>
      </c>
      <c r="G46" s="50"/>
      <c r="H46" s="51"/>
      <c r="I46" s="52">
        <v>0.04</v>
      </c>
      <c r="J46" s="29">
        <f>J43*I46</f>
        <v>96770198.630447641</v>
      </c>
    </row>
    <row r="47" spans="2:10" x14ac:dyDescent="0.2">
      <c r="F47" s="49" t="s">
        <v>49</v>
      </c>
      <c r="G47" s="50"/>
      <c r="H47" s="51"/>
      <c r="I47" s="53"/>
      <c r="J47" s="29"/>
    </row>
    <row r="48" spans="2:10" x14ac:dyDescent="0.2">
      <c r="F48" s="49" t="s">
        <v>50</v>
      </c>
      <c r="G48" s="50"/>
      <c r="H48" s="51"/>
      <c r="I48" s="52">
        <v>0.19</v>
      </c>
      <c r="J48" s="29">
        <f>J46*I48</f>
        <v>18386337.739785053</v>
      </c>
    </row>
    <row r="49" spans="2:10" x14ac:dyDescent="0.2">
      <c r="F49" s="54"/>
      <c r="G49" s="50"/>
      <c r="H49" s="51"/>
      <c r="I49" s="55"/>
      <c r="J49" s="29"/>
    </row>
    <row r="50" spans="2:10" ht="16.5" thickBot="1" x14ac:dyDescent="0.25">
      <c r="F50" s="56"/>
      <c r="G50" s="57"/>
      <c r="H50" s="58" t="s">
        <v>51</v>
      </c>
      <c r="I50" s="41"/>
      <c r="J50" s="59">
        <f>SUM(J43:J48)</f>
        <v>3163417793.2293339</v>
      </c>
    </row>
    <row r="52" spans="2:10" ht="18" x14ac:dyDescent="0.2">
      <c r="B52" s="60" t="s">
        <v>52</v>
      </c>
      <c r="C52" s="61" t="s">
        <v>339</v>
      </c>
    </row>
  </sheetData>
  <mergeCells count="4">
    <mergeCell ref="F6:G6"/>
    <mergeCell ref="H6:I6"/>
    <mergeCell ref="B7:B8"/>
    <mergeCell ref="C7:C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2EFC2-FD94-4C76-BB14-453F91977FFF}">
  <sheetPr>
    <tabColor rgb="FF92D050"/>
  </sheetPr>
  <dimension ref="B1:J44"/>
  <sheetViews>
    <sheetView zoomScale="85" zoomScaleNormal="85" workbookViewId="0"/>
  </sheetViews>
  <sheetFormatPr baseColWidth="10" defaultColWidth="12.625" defaultRowHeight="12.75" x14ac:dyDescent="0.2"/>
  <cols>
    <col min="1" max="1" width="6.125" style="30" customWidth="1"/>
    <col min="2" max="2" width="6.125" style="64" customWidth="1"/>
    <col min="3" max="3" width="61.625" style="30" customWidth="1"/>
    <col min="4" max="4" width="9.625" style="30" customWidth="1"/>
    <col min="5" max="5" width="9.625" style="62" customWidth="1"/>
    <col min="6" max="7" width="11.625" style="63" customWidth="1"/>
    <col min="8" max="10" width="11.625" style="62" customWidth="1"/>
    <col min="11" max="16384" width="12.625" style="30"/>
  </cols>
  <sheetData>
    <row r="1" spans="2:10" s="2" customFormat="1" ht="15" x14ac:dyDescent="0.2">
      <c r="B1" s="8"/>
      <c r="E1" s="4"/>
      <c r="F1" s="5"/>
      <c r="G1" s="5"/>
      <c r="H1" s="4"/>
      <c r="I1" s="4"/>
      <c r="J1" s="4"/>
    </row>
    <row r="2" spans="2:10" s="2" customFormat="1" ht="15.75" x14ac:dyDescent="0.25">
      <c r="B2" s="1" t="s">
        <v>0</v>
      </c>
      <c r="D2" s="3"/>
      <c r="E2" s="4"/>
      <c r="F2" s="5"/>
      <c r="G2" s="5"/>
      <c r="H2" s="4"/>
      <c r="I2" s="4"/>
      <c r="J2" s="4"/>
    </row>
    <row r="3" spans="2:10" s="2" customFormat="1" ht="15.75" x14ac:dyDescent="0.25">
      <c r="B3" s="1" t="s">
        <v>1</v>
      </c>
      <c r="C3" s="5"/>
      <c r="D3" s="6" t="s">
        <v>2</v>
      </c>
      <c r="E3" s="4"/>
      <c r="F3" s="5"/>
      <c r="G3" s="5"/>
      <c r="H3" s="7"/>
      <c r="I3" s="4"/>
      <c r="J3" s="4"/>
    </row>
    <row r="4" spans="2:10" s="2" customFormat="1" ht="15.75" x14ac:dyDescent="0.25">
      <c r="B4" s="1" t="s">
        <v>361</v>
      </c>
      <c r="D4" s="3"/>
      <c r="E4" s="4"/>
      <c r="F4" s="5"/>
      <c r="G4" s="5"/>
      <c r="H4" s="4"/>
      <c r="I4" s="4"/>
      <c r="J4" s="4"/>
    </row>
    <row r="5" spans="2:10" s="2" customFormat="1" ht="15.75" thickBot="1" x14ac:dyDescent="0.25">
      <c r="B5" s="8"/>
      <c r="E5" s="4"/>
      <c r="F5" s="9"/>
      <c r="G5" s="5"/>
      <c r="H5" s="10"/>
      <c r="I5" s="4"/>
      <c r="J5" s="4"/>
    </row>
    <row r="6" spans="2:10" s="14" customFormat="1" ht="54.95" customHeight="1" x14ac:dyDescent="0.25">
      <c r="B6" s="11" t="s">
        <v>3</v>
      </c>
      <c r="C6" s="12" t="s">
        <v>4</v>
      </c>
      <c r="D6" s="12" t="s">
        <v>5</v>
      </c>
      <c r="E6" s="12" t="s">
        <v>6</v>
      </c>
      <c r="F6" s="400" t="s">
        <v>7</v>
      </c>
      <c r="G6" s="400"/>
      <c r="H6" s="401" t="s">
        <v>8</v>
      </c>
      <c r="I6" s="401"/>
      <c r="J6" s="13" t="s">
        <v>9</v>
      </c>
    </row>
    <row r="7" spans="2:10" s="19" customFormat="1" ht="27.75" customHeight="1" x14ac:dyDescent="0.2">
      <c r="B7" s="402">
        <v>5</v>
      </c>
      <c r="C7" s="404" t="s">
        <v>94</v>
      </c>
      <c r="D7" s="15"/>
      <c r="E7" s="16"/>
      <c r="F7" s="17" t="s">
        <v>11</v>
      </c>
      <c r="G7" s="17" t="s">
        <v>12</v>
      </c>
      <c r="H7" s="17" t="s">
        <v>11</v>
      </c>
      <c r="I7" s="17" t="s">
        <v>13</v>
      </c>
      <c r="J7" s="18" t="s">
        <v>14</v>
      </c>
    </row>
    <row r="8" spans="2:10" s="19" customFormat="1" ht="27.75" customHeight="1" x14ac:dyDescent="0.2">
      <c r="B8" s="403"/>
      <c r="C8" s="405"/>
      <c r="D8" s="20"/>
      <c r="E8" s="169" t="s">
        <v>14</v>
      </c>
      <c r="F8" s="21" t="s">
        <v>15</v>
      </c>
      <c r="G8" s="21" t="s">
        <v>15</v>
      </c>
      <c r="H8" s="21" t="s">
        <v>15</v>
      </c>
      <c r="I8" s="21" t="s">
        <v>15</v>
      </c>
      <c r="J8" s="22" t="s">
        <v>15</v>
      </c>
    </row>
    <row r="9" spans="2:10" x14ac:dyDescent="0.2">
      <c r="B9" s="23">
        <f>B7+0.01</f>
        <v>5.01</v>
      </c>
      <c r="C9" s="31" t="s">
        <v>95</v>
      </c>
      <c r="D9" s="78" t="s">
        <v>17</v>
      </c>
      <c r="E9" s="26">
        <v>12</v>
      </c>
      <c r="F9" s="27">
        <v>53600002.424000002</v>
      </c>
      <c r="G9" s="27">
        <f>E9*F9</f>
        <v>643200029.08800006</v>
      </c>
      <c r="H9" s="28">
        <v>3619694.2480000001</v>
      </c>
      <c r="I9" s="28">
        <f>E9*H9</f>
        <v>43436330.976000004</v>
      </c>
      <c r="J9" s="29">
        <f>G9+I9</f>
        <v>686636360.06400001</v>
      </c>
    </row>
    <row r="10" spans="2:10" ht="51" x14ac:dyDescent="0.2">
      <c r="B10" s="23">
        <f>B9+0.01</f>
        <v>5.0199999999999996</v>
      </c>
      <c r="C10" s="31" t="s">
        <v>96</v>
      </c>
      <c r="D10" s="78" t="s">
        <v>17</v>
      </c>
      <c r="E10" s="26">
        <v>12</v>
      </c>
      <c r="F10" s="27">
        <v>6934396.5</v>
      </c>
      <c r="G10" s="27">
        <f t="shared" ref="G10:G33" si="0">E10*F10</f>
        <v>83212758</v>
      </c>
      <c r="H10" s="28">
        <v>866300.96000000008</v>
      </c>
      <c r="I10" s="28">
        <f t="shared" ref="I10:I33" si="1">E10*H10</f>
        <v>10395611.520000001</v>
      </c>
      <c r="J10" s="29">
        <f t="shared" ref="J10:J33" si="2">G10+I10</f>
        <v>93608369.519999996</v>
      </c>
    </row>
    <row r="11" spans="2:10" x14ac:dyDescent="0.2">
      <c r="B11" s="23">
        <f t="shared" ref="B11:B33" si="3">B10+0.01</f>
        <v>5.0299999999999994</v>
      </c>
      <c r="C11" s="31" t="s">
        <v>97</v>
      </c>
      <c r="D11" s="78" t="s">
        <v>17</v>
      </c>
      <c r="E11" s="26">
        <v>12</v>
      </c>
      <c r="F11" s="27">
        <v>35374700</v>
      </c>
      <c r="G11" s="27">
        <f t="shared" si="0"/>
        <v>424496400</v>
      </c>
      <c r="H11" s="28"/>
      <c r="I11" s="28">
        <f t="shared" si="1"/>
        <v>0</v>
      </c>
      <c r="J11" s="29">
        <f t="shared" si="2"/>
        <v>424496400</v>
      </c>
    </row>
    <row r="12" spans="2:10" x14ac:dyDescent="0.2">
      <c r="B12" s="23">
        <f t="shared" si="3"/>
        <v>5.0399999999999991</v>
      </c>
      <c r="C12" s="31" t="s">
        <v>24</v>
      </c>
      <c r="D12" s="78" t="s">
        <v>17</v>
      </c>
      <c r="E12" s="26">
        <v>12</v>
      </c>
      <c r="F12" s="32">
        <v>9704713</v>
      </c>
      <c r="G12" s="27">
        <f t="shared" si="0"/>
        <v>116456556</v>
      </c>
      <c r="H12" s="28">
        <v>1462743.932</v>
      </c>
      <c r="I12" s="28">
        <f t="shared" si="1"/>
        <v>17552927.184</v>
      </c>
      <c r="J12" s="29">
        <f t="shared" si="2"/>
        <v>134009483.184</v>
      </c>
    </row>
    <row r="13" spans="2:10" x14ac:dyDescent="0.2">
      <c r="B13" s="23">
        <f t="shared" si="3"/>
        <v>5.0499999999999989</v>
      </c>
      <c r="C13" s="31" t="s">
        <v>25</v>
      </c>
      <c r="D13" s="78" t="s">
        <v>17</v>
      </c>
      <c r="E13" s="26">
        <v>12</v>
      </c>
      <c r="F13" s="27"/>
      <c r="G13" s="27">
        <f t="shared" si="0"/>
        <v>0</v>
      </c>
      <c r="H13" s="28"/>
      <c r="I13" s="28">
        <f t="shared" si="1"/>
        <v>0</v>
      </c>
      <c r="J13" s="29">
        <f t="shared" si="2"/>
        <v>0</v>
      </c>
    </row>
    <row r="14" spans="2:10" x14ac:dyDescent="0.2">
      <c r="B14" s="23">
        <f t="shared" si="3"/>
        <v>5.0599999999999987</v>
      </c>
      <c r="C14" s="31" t="s">
        <v>93</v>
      </c>
      <c r="D14" s="78" t="s">
        <v>17</v>
      </c>
      <c r="E14" s="26">
        <v>12</v>
      </c>
      <c r="F14" s="27"/>
      <c r="G14" s="27">
        <f t="shared" si="0"/>
        <v>0</v>
      </c>
      <c r="H14" s="28"/>
      <c r="I14" s="28">
        <f t="shared" si="1"/>
        <v>0</v>
      </c>
      <c r="J14" s="29">
        <f t="shared" si="2"/>
        <v>0</v>
      </c>
    </row>
    <row r="15" spans="2:10" x14ac:dyDescent="0.2">
      <c r="B15" s="23">
        <f t="shared" si="3"/>
        <v>5.0699999999999985</v>
      </c>
      <c r="C15" s="31" t="s">
        <v>27</v>
      </c>
      <c r="D15" s="78" t="s">
        <v>17</v>
      </c>
      <c r="E15" s="26">
        <v>12</v>
      </c>
      <c r="F15" s="27"/>
      <c r="G15" s="27">
        <f t="shared" si="0"/>
        <v>0</v>
      </c>
      <c r="H15" s="28"/>
      <c r="I15" s="28">
        <f t="shared" si="1"/>
        <v>0</v>
      </c>
      <c r="J15" s="29">
        <f t="shared" si="2"/>
        <v>0</v>
      </c>
    </row>
    <row r="16" spans="2:10" x14ac:dyDescent="0.2">
      <c r="B16" s="23">
        <f t="shared" si="3"/>
        <v>5.0799999999999983</v>
      </c>
      <c r="C16" s="31" t="s">
        <v>98</v>
      </c>
      <c r="D16" s="78" t="s">
        <v>17</v>
      </c>
      <c r="E16" s="26">
        <v>12</v>
      </c>
      <c r="F16" s="32">
        <v>2999598</v>
      </c>
      <c r="G16" s="27">
        <f t="shared" si="0"/>
        <v>35995176</v>
      </c>
      <c r="H16" s="28">
        <v>680994.05200000003</v>
      </c>
      <c r="I16" s="28">
        <f t="shared" si="1"/>
        <v>8171928.6239999998</v>
      </c>
      <c r="J16" s="29">
        <f t="shared" si="2"/>
        <v>44167104.623999998</v>
      </c>
    </row>
    <row r="17" spans="2:10" x14ac:dyDescent="0.2">
      <c r="B17" s="23">
        <f t="shared" si="3"/>
        <v>5.0899999999999981</v>
      </c>
      <c r="C17" s="31" t="s">
        <v>20</v>
      </c>
      <c r="D17" s="78" t="s">
        <v>17</v>
      </c>
      <c r="E17" s="26">
        <v>12</v>
      </c>
      <c r="F17" s="27">
        <v>737969.81200000003</v>
      </c>
      <c r="G17" s="27">
        <f t="shared" si="0"/>
        <v>8855637.7440000009</v>
      </c>
      <c r="H17" s="28">
        <v>225338.40000000002</v>
      </c>
      <c r="I17" s="28">
        <f t="shared" si="1"/>
        <v>2704060.8000000003</v>
      </c>
      <c r="J17" s="29">
        <f t="shared" si="2"/>
        <v>11559698.544000002</v>
      </c>
    </row>
    <row r="18" spans="2:10" x14ac:dyDescent="0.2">
      <c r="B18" s="23">
        <f t="shared" si="3"/>
        <v>5.0999999999999979</v>
      </c>
      <c r="C18" s="31" t="s">
        <v>99</v>
      </c>
      <c r="D18" s="78" t="s">
        <v>17</v>
      </c>
      <c r="E18" s="26">
        <v>12</v>
      </c>
      <c r="F18" s="33">
        <v>812392.93604651175</v>
      </c>
      <c r="G18" s="27">
        <f t="shared" si="0"/>
        <v>9748715.2325581405</v>
      </c>
      <c r="H18" s="80">
        <v>328466.10115148878</v>
      </c>
      <c r="I18" s="28">
        <f t="shared" si="1"/>
        <v>3941593.2138178656</v>
      </c>
      <c r="J18" s="29">
        <f t="shared" si="2"/>
        <v>13690308.446376007</v>
      </c>
    </row>
    <row r="19" spans="2:10" x14ac:dyDescent="0.2">
      <c r="B19" s="23">
        <f t="shared" si="3"/>
        <v>5.1099999999999977</v>
      </c>
      <c r="C19" s="31" t="s">
        <v>100</v>
      </c>
      <c r="D19" s="78" t="s">
        <v>17</v>
      </c>
      <c r="E19" s="26">
        <v>12</v>
      </c>
      <c r="F19" s="33">
        <v>389948.60930232564</v>
      </c>
      <c r="G19" s="27">
        <f t="shared" si="0"/>
        <v>4679383.3116279077</v>
      </c>
      <c r="H19" s="80">
        <v>310191.80915148876</v>
      </c>
      <c r="I19" s="28">
        <f t="shared" si="1"/>
        <v>3722301.7098178649</v>
      </c>
      <c r="J19" s="29">
        <f t="shared" si="2"/>
        <v>8401685.0214457735</v>
      </c>
    </row>
    <row r="20" spans="2:10" x14ac:dyDescent="0.2">
      <c r="B20" s="23">
        <f t="shared" si="3"/>
        <v>5.1199999999999974</v>
      </c>
      <c r="C20" s="31" t="s">
        <v>101</v>
      </c>
      <c r="D20" s="78" t="s">
        <v>17</v>
      </c>
      <c r="E20" s="26">
        <v>12</v>
      </c>
      <c r="F20" s="33">
        <v>1624785.8720930235</v>
      </c>
      <c r="G20" s="27">
        <f t="shared" si="0"/>
        <v>19497430.465116281</v>
      </c>
      <c r="H20" s="80">
        <v>1634674.4474746021</v>
      </c>
      <c r="I20" s="28">
        <f t="shared" si="1"/>
        <v>19616093.369695224</v>
      </c>
      <c r="J20" s="29">
        <f t="shared" si="2"/>
        <v>39113523.834811509</v>
      </c>
    </row>
    <row r="21" spans="2:10" ht="25.5" x14ac:dyDescent="0.2">
      <c r="B21" s="23">
        <f t="shared" si="3"/>
        <v>5.1299999999999972</v>
      </c>
      <c r="C21" s="31" t="s">
        <v>69</v>
      </c>
      <c r="D21" s="78" t="s">
        <v>17</v>
      </c>
      <c r="E21" s="26">
        <v>12</v>
      </c>
      <c r="F21" s="33">
        <v>4486477.7168448111</v>
      </c>
      <c r="G21" s="27">
        <f t="shared" si="0"/>
        <v>53837732.60213773</v>
      </c>
      <c r="H21" s="28">
        <v>3914826.5360000003</v>
      </c>
      <c r="I21" s="28">
        <f t="shared" si="1"/>
        <v>46977918.432000004</v>
      </c>
      <c r="J21" s="29">
        <f t="shared" si="2"/>
        <v>100815651.03413773</v>
      </c>
    </row>
    <row r="22" spans="2:10" x14ac:dyDescent="0.2">
      <c r="B22" s="23">
        <f t="shared" si="3"/>
        <v>5.139999999999997</v>
      </c>
      <c r="C22" s="31" t="s">
        <v>102</v>
      </c>
      <c r="D22" s="78" t="s">
        <v>43</v>
      </c>
      <c r="E22" s="26">
        <v>12</v>
      </c>
      <c r="F22" s="27">
        <v>319476.85399999999</v>
      </c>
      <c r="G22" s="27">
        <f t="shared" si="0"/>
        <v>3833722.2479999997</v>
      </c>
      <c r="H22" s="28">
        <v>688534</v>
      </c>
      <c r="I22" s="28">
        <f t="shared" si="1"/>
        <v>8262408</v>
      </c>
      <c r="J22" s="29">
        <f t="shared" si="2"/>
        <v>12096130.248</v>
      </c>
    </row>
    <row r="23" spans="2:10" x14ac:dyDescent="0.2">
      <c r="B23" s="23">
        <f t="shared" si="3"/>
        <v>5.1499999999999968</v>
      </c>
      <c r="C23" s="34" t="s">
        <v>33</v>
      </c>
      <c r="D23" s="78" t="s">
        <v>17</v>
      </c>
      <c r="E23" s="26">
        <v>12</v>
      </c>
      <c r="F23" s="27">
        <v>275560</v>
      </c>
      <c r="G23" s="27">
        <f t="shared" si="0"/>
        <v>3306720</v>
      </c>
      <c r="H23" s="28">
        <v>180620</v>
      </c>
      <c r="I23" s="28">
        <f t="shared" si="1"/>
        <v>2167440</v>
      </c>
      <c r="J23" s="29">
        <f t="shared" si="2"/>
        <v>5474160</v>
      </c>
    </row>
    <row r="24" spans="2:10" x14ac:dyDescent="0.2">
      <c r="B24" s="23">
        <f t="shared" si="3"/>
        <v>5.1599999999999966</v>
      </c>
      <c r="C24" s="35" t="s">
        <v>34</v>
      </c>
      <c r="D24" s="78" t="s">
        <v>17</v>
      </c>
      <c r="E24" s="26">
        <v>12</v>
      </c>
      <c r="F24" s="27">
        <v>31385</v>
      </c>
      <c r="G24" s="27">
        <f t="shared" si="0"/>
        <v>376620</v>
      </c>
      <c r="H24" s="28">
        <v>31603.894349247203</v>
      </c>
      <c r="I24" s="28">
        <f t="shared" si="1"/>
        <v>379246.73219096643</v>
      </c>
      <c r="J24" s="29">
        <f t="shared" si="2"/>
        <v>755866.73219096637</v>
      </c>
    </row>
    <row r="25" spans="2:10" ht="28.5" customHeight="1" x14ac:dyDescent="0.2">
      <c r="B25" s="23">
        <f t="shared" si="3"/>
        <v>5.1699999999999964</v>
      </c>
      <c r="C25" s="36" t="s">
        <v>35</v>
      </c>
      <c r="D25" s="78" t="s">
        <v>17</v>
      </c>
      <c r="E25" s="26">
        <v>12</v>
      </c>
      <c r="F25" s="27">
        <v>192904</v>
      </c>
      <c r="G25" s="27">
        <f t="shared" si="0"/>
        <v>2314848</v>
      </c>
      <c r="H25" s="28">
        <v>170263</v>
      </c>
      <c r="I25" s="28">
        <f t="shared" si="1"/>
        <v>2043156</v>
      </c>
      <c r="J25" s="29">
        <f>G25+I25</f>
        <v>4358004</v>
      </c>
    </row>
    <row r="26" spans="2:10" ht="25.5" x14ac:dyDescent="0.2">
      <c r="B26" s="23">
        <f t="shared" si="3"/>
        <v>5.1799999999999962</v>
      </c>
      <c r="C26" s="34" t="s">
        <v>36</v>
      </c>
      <c r="D26" s="78" t="s">
        <v>17</v>
      </c>
      <c r="E26" s="26">
        <v>24</v>
      </c>
      <c r="F26" s="27">
        <v>962106</v>
      </c>
      <c r="G26" s="27">
        <f t="shared" si="0"/>
        <v>23090544</v>
      </c>
      <c r="H26" s="28">
        <v>817672.19688000006</v>
      </c>
      <c r="I26" s="28">
        <f t="shared" si="1"/>
        <v>19624132.725120001</v>
      </c>
      <c r="J26" s="29">
        <f t="shared" si="2"/>
        <v>42714676.725120001</v>
      </c>
    </row>
    <row r="27" spans="2:10" x14ac:dyDescent="0.2">
      <c r="B27" s="23">
        <f t="shared" si="3"/>
        <v>5.1899999999999959</v>
      </c>
      <c r="C27" s="36" t="s">
        <v>37</v>
      </c>
      <c r="D27" s="25" t="s">
        <v>17</v>
      </c>
      <c r="E27" s="26">
        <v>12</v>
      </c>
      <c r="F27" s="27">
        <v>455761</v>
      </c>
      <c r="G27" s="27">
        <f t="shared" si="0"/>
        <v>5469132</v>
      </c>
      <c r="H27" s="28">
        <v>97455</v>
      </c>
      <c r="I27" s="28">
        <f t="shared" si="1"/>
        <v>1169460</v>
      </c>
      <c r="J27" s="29">
        <f t="shared" si="2"/>
        <v>6638592</v>
      </c>
    </row>
    <row r="28" spans="2:10" x14ac:dyDescent="0.2">
      <c r="B28" s="23">
        <f t="shared" si="3"/>
        <v>5.1999999999999957</v>
      </c>
      <c r="C28" s="34" t="s">
        <v>38</v>
      </c>
      <c r="D28" s="78" t="s">
        <v>17</v>
      </c>
      <c r="E28" s="26">
        <v>48</v>
      </c>
      <c r="F28" s="27">
        <v>7418.4565171643308</v>
      </c>
      <c r="G28" s="27">
        <f t="shared" si="0"/>
        <v>356085.91282388789</v>
      </c>
      <c r="H28" s="28">
        <v>2017.5034107997981</v>
      </c>
      <c r="I28" s="28">
        <f t="shared" si="1"/>
        <v>96840.163718390308</v>
      </c>
      <c r="J28" s="29">
        <f t="shared" si="2"/>
        <v>452926.07654227817</v>
      </c>
    </row>
    <row r="29" spans="2:10" ht="25.5" x14ac:dyDescent="0.2">
      <c r="B29" s="23">
        <f t="shared" si="3"/>
        <v>5.2099999999999955</v>
      </c>
      <c r="C29" s="34" t="s">
        <v>103</v>
      </c>
      <c r="D29" s="78" t="s">
        <v>17</v>
      </c>
      <c r="E29" s="26">
        <v>12</v>
      </c>
      <c r="F29" s="27">
        <v>149435</v>
      </c>
      <c r="G29" s="27">
        <f t="shared" si="0"/>
        <v>1793220</v>
      </c>
      <c r="H29" s="28">
        <v>138607.71709633575</v>
      </c>
      <c r="I29" s="28">
        <f t="shared" si="1"/>
        <v>1663292.6051560291</v>
      </c>
      <c r="J29" s="29">
        <f t="shared" si="2"/>
        <v>3456512.6051560291</v>
      </c>
    </row>
    <row r="30" spans="2:10" ht="25.5" x14ac:dyDescent="0.2">
      <c r="B30" s="23">
        <f>B31+0.01</f>
        <v>5.2299999999999951</v>
      </c>
      <c r="C30" s="34" t="s">
        <v>40</v>
      </c>
      <c r="D30" s="78" t="s">
        <v>17</v>
      </c>
      <c r="E30" s="26">
        <v>12</v>
      </c>
      <c r="F30" s="27">
        <v>263833</v>
      </c>
      <c r="G30" s="27">
        <f t="shared" si="0"/>
        <v>3165996</v>
      </c>
      <c r="H30" s="28">
        <v>2265263.3868821794</v>
      </c>
      <c r="I30" s="28">
        <f t="shared" si="1"/>
        <v>27183160.642586153</v>
      </c>
      <c r="J30" s="29">
        <f t="shared" si="2"/>
        <v>30349156.642586153</v>
      </c>
    </row>
    <row r="31" spans="2:10" x14ac:dyDescent="0.2">
      <c r="B31" s="23">
        <f>B29+0.01</f>
        <v>5.2199999999999953</v>
      </c>
      <c r="C31" s="34" t="s">
        <v>41</v>
      </c>
      <c r="D31" s="78" t="s">
        <v>17</v>
      </c>
      <c r="E31" s="26">
        <v>144</v>
      </c>
      <c r="F31" s="27">
        <v>7441</v>
      </c>
      <c r="G31" s="27">
        <f t="shared" si="0"/>
        <v>1071504</v>
      </c>
      <c r="H31" s="28">
        <v>45514</v>
      </c>
      <c r="I31" s="28">
        <f t="shared" si="1"/>
        <v>6554016</v>
      </c>
      <c r="J31" s="29">
        <f>G31+I31</f>
        <v>7625520</v>
      </c>
    </row>
    <row r="32" spans="2:10" x14ac:dyDescent="0.2">
      <c r="B32" s="23">
        <f>B30+0.01</f>
        <v>5.2399999999999949</v>
      </c>
      <c r="C32" s="31" t="s">
        <v>42</v>
      </c>
      <c r="D32" s="78" t="s">
        <v>43</v>
      </c>
      <c r="E32" s="26">
        <v>12</v>
      </c>
      <c r="F32" s="27">
        <v>2977793.9000000004</v>
      </c>
      <c r="G32" s="27">
        <f t="shared" si="0"/>
        <v>35733526.800000004</v>
      </c>
      <c r="H32" s="28"/>
      <c r="I32" s="28">
        <f t="shared" si="1"/>
        <v>0</v>
      </c>
      <c r="J32" s="29">
        <f t="shared" ref="J32" si="4">G32+I32</f>
        <v>35733526.800000004</v>
      </c>
    </row>
    <row r="33" spans="2:10" ht="13.5" thickBot="1" x14ac:dyDescent="0.25">
      <c r="B33" s="37">
        <f t="shared" si="3"/>
        <v>5.2499999999999947</v>
      </c>
      <c r="C33" s="67" t="s">
        <v>44</v>
      </c>
      <c r="D33" s="81" t="s">
        <v>43</v>
      </c>
      <c r="E33" s="39">
        <v>1</v>
      </c>
      <c r="F33" s="40">
        <v>9000000</v>
      </c>
      <c r="G33" s="40">
        <f t="shared" si="0"/>
        <v>9000000</v>
      </c>
      <c r="H33" s="41"/>
      <c r="I33" s="41">
        <f t="shared" si="1"/>
        <v>0</v>
      </c>
      <c r="J33" s="42">
        <f t="shared" si="2"/>
        <v>9000000</v>
      </c>
    </row>
    <row r="34" spans="2:10" ht="13.5" thickBot="1" x14ac:dyDescent="0.25"/>
    <row r="35" spans="2:10" ht="15.75" x14ac:dyDescent="0.2">
      <c r="F35" s="44"/>
      <c r="G35" s="45"/>
      <c r="H35" s="46" t="s">
        <v>45</v>
      </c>
      <c r="I35" s="47"/>
      <c r="J35" s="48">
        <f>SUM(J9:J33)</f>
        <v>1715153656.1023664</v>
      </c>
    </row>
    <row r="36" spans="2:10" x14ac:dyDescent="0.2">
      <c r="F36" s="49" t="s">
        <v>46</v>
      </c>
      <c r="G36" s="50"/>
      <c r="H36" s="51"/>
      <c r="I36" s="52">
        <v>0.22</v>
      </c>
      <c r="J36" s="29">
        <f>J35*I36</f>
        <v>377333804.34252059</v>
      </c>
    </row>
    <row r="37" spans="2:10" x14ac:dyDescent="0.2">
      <c r="F37" s="49" t="s">
        <v>47</v>
      </c>
      <c r="G37" s="50"/>
      <c r="H37" s="51"/>
      <c r="I37" s="52">
        <v>0.04</v>
      </c>
      <c r="J37" s="29">
        <f>J35*I37</f>
        <v>68606146.244094655</v>
      </c>
    </row>
    <row r="38" spans="2:10" x14ac:dyDescent="0.2">
      <c r="F38" s="49" t="s">
        <v>48</v>
      </c>
      <c r="G38" s="50"/>
      <c r="H38" s="51"/>
      <c r="I38" s="52">
        <v>0.04</v>
      </c>
      <c r="J38" s="29">
        <f>J35*I38</f>
        <v>68606146.244094655</v>
      </c>
    </row>
    <row r="39" spans="2:10" x14ac:dyDescent="0.2">
      <c r="F39" s="49" t="s">
        <v>49</v>
      </c>
      <c r="G39" s="50"/>
      <c r="H39" s="51"/>
      <c r="I39" s="53"/>
      <c r="J39" s="29"/>
    </row>
    <row r="40" spans="2:10" x14ac:dyDescent="0.2">
      <c r="F40" s="49" t="s">
        <v>50</v>
      </c>
      <c r="G40" s="50"/>
      <c r="H40" s="51"/>
      <c r="I40" s="52">
        <v>0.19</v>
      </c>
      <c r="J40" s="29">
        <f>J38*I40</f>
        <v>13035167.786377985</v>
      </c>
    </row>
    <row r="41" spans="2:10" x14ac:dyDescent="0.2">
      <c r="F41" s="54"/>
      <c r="G41" s="50"/>
      <c r="H41" s="51"/>
      <c r="I41" s="55"/>
      <c r="J41" s="29"/>
    </row>
    <row r="42" spans="2:10" ht="16.5" thickBot="1" x14ac:dyDescent="0.25">
      <c r="F42" s="56"/>
      <c r="G42" s="57"/>
      <c r="H42" s="58" t="s">
        <v>51</v>
      </c>
      <c r="I42" s="41"/>
      <c r="J42" s="59">
        <f>SUM(J35:J40)</f>
        <v>2242734920.7194548</v>
      </c>
    </row>
    <row r="44" spans="2:10" ht="18" x14ac:dyDescent="0.2">
      <c r="B44" s="60" t="s">
        <v>52</v>
      </c>
      <c r="C44" s="30" t="s">
        <v>339</v>
      </c>
    </row>
  </sheetData>
  <mergeCells count="4">
    <mergeCell ref="F6:G6"/>
    <mergeCell ref="H6:I6"/>
    <mergeCell ref="B7:B8"/>
    <mergeCell ref="C7:C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6534-86D8-472E-B4D6-9D3D464A3348}">
  <sheetPr>
    <tabColor rgb="FF92D050"/>
  </sheetPr>
  <dimension ref="B1:J45"/>
  <sheetViews>
    <sheetView zoomScaleNormal="100" workbookViewId="0"/>
  </sheetViews>
  <sheetFormatPr baseColWidth="10" defaultColWidth="12.625" defaultRowHeight="12.75" x14ac:dyDescent="0.2"/>
  <cols>
    <col min="1" max="1" width="5.375" style="30" customWidth="1"/>
    <col min="2" max="2" width="6.125" style="64" customWidth="1"/>
    <col min="3" max="3" width="61.625" style="30" customWidth="1"/>
    <col min="4" max="4" width="9.625" style="30" customWidth="1"/>
    <col min="5" max="5" width="9.625" style="62" customWidth="1"/>
    <col min="6" max="7" width="11.625" style="63" customWidth="1"/>
    <col min="8" max="10" width="11.625" style="62" customWidth="1"/>
    <col min="11" max="16384" width="12.625" style="30"/>
  </cols>
  <sheetData>
    <row r="1" spans="2:10" s="2" customFormat="1" ht="15" x14ac:dyDescent="0.2">
      <c r="B1" s="8"/>
      <c r="E1" s="4"/>
      <c r="F1" s="5"/>
      <c r="G1" s="5"/>
      <c r="H1" s="4"/>
      <c r="I1" s="4"/>
      <c r="J1" s="4"/>
    </row>
    <row r="2" spans="2:10" s="2" customFormat="1" ht="15.75" x14ac:dyDescent="0.25">
      <c r="B2" s="1" t="s">
        <v>0</v>
      </c>
      <c r="D2" s="3"/>
      <c r="E2" s="4"/>
      <c r="F2" s="5"/>
      <c r="G2" s="5"/>
      <c r="H2" s="4"/>
      <c r="I2" s="4"/>
      <c r="J2" s="4"/>
    </row>
    <row r="3" spans="2:10" s="2" customFormat="1" ht="15.75" x14ac:dyDescent="0.25">
      <c r="B3" s="1" t="s">
        <v>1</v>
      </c>
      <c r="C3" s="5"/>
      <c r="D3" s="6" t="s">
        <v>2</v>
      </c>
      <c r="E3" s="4"/>
      <c r="F3" s="5"/>
      <c r="G3" s="5"/>
      <c r="H3" s="7"/>
      <c r="I3" s="4"/>
      <c r="J3" s="4"/>
    </row>
    <row r="4" spans="2:10" s="2" customFormat="1" ht="15.75" x14ac:dyDescent="0.25">
      <c r="B4" s="1" t="s">
        <v>361</v>
      </c>
      <c r="D4" s="3"/>
      <c r="E4" s="4"/>
      <c r="F4" s="5"/>
      <c r="G4" s="5"/>
      <c r="H4" s="4"/>
      <c r="I4" s="4"/>
      <c r="J4" s="4"/>
    </row>
    <row r="5" spans="2:10" s="2" customFormat="1" ht="15.75" thickBot="1" x14ac:dyDescent="0.25">
      <c r="B5" s="8"/>
      <c r="E5" s="4"/>
      <c r="F5" s="5"/>
      <c r="G5" s="5"/>
      <c r="H5" s="4"/>
      <c r="I5" s="4"/>
      <c r="J5" s="4"/>
    </row>
    <row r="6" spans="2:10" s="14" customFormat="1" ht="54.95" customHeight="1" x14ac:dyDescent="0.25">
      <c r="B6" s="11" t="s">
        <v>3</v>
      </c>
      <c r="C6" s="12" t="s">
        <v>4</v>
      </c>
      <c r="D6" s="12" t="s">
        <v>5</v>
      </c>
      <c r="E6" s="12" t="s">
        <v>6</v>
      </c>
      <c r="F6" s="401" t="s">
        <v>7</v>
      </c>
      <c r="G6" s="401"/>
      <c r="H6" s="401" t="s">
        <v>8</v>
      </c>
      <c r="I6" s="401"/>
      <c r="J6" s="13" t="s">
        <v>9</v>
      </c>
    </row>
    <row r="7" spans="2:10" s="19" customFormat="1" ht="27.75" customHeight="1" x14ac:dyDescent="0.2">
      <c r="B7" s="402">
        <v>6</v>
      </c>
      <c r="C7" s="404" t="s">
        <v>104</v>
      </c>
      <c r="D7" s="15"/>
      <c r="E7" s="16"/>
      <c r="F7" s="17" t="s">
        <v>11</v>
      </c>
      <c r="G7" s="17" t="s">
        <v>12</v>
      </c>
      <c r="H7" s="17" t="s">
        <v>11</v>
      </c>
      <c r="I7" s="17" t="s">
        <v>13</v>
      </c>
      <c r="J7" s="18" t="s">
        <v>14</v>
      </c>
    </row>
    <row r="8" spans="2:10" s="19" customFormat="1" ht="27.75" customHeight="1" x14ac:dyDescent="0.2">
      <c r="B8" s="403"/>
      <c r="C8" s="405"/>
      <c r="D8" s="20"/>
      <c r="E8" s="169" t="s">
        <v>14</v>
      </c>
      <c r="F8" s="21" t="s">
        <v>15</v>
      </c>
      <c r="G8" s="21" t="s">
        <v>15</v>
      </c>
      <c r="H8" s="21" t="s">
        <v>15</v>
      </c>
      <c r="I8" s="21" t="s">
        <v>15</v>
      </c>
      <c r="J8" s="22" t="s">
        <v>15</v>
      </c>
    </row>
    <row r="9" spans="2:10" x14ac:dyDescent="0.2">
      <c r="B9" s="23">
        <f>B7+0.01</f>
        <v>6.01</v>
      </c>
      <c r="C9" s="31" t="s">
        <v>105</v>
      </c>
      <c r="D9" s="78" t="s">
        <v>17</v>
      </c>
      <c r="E9" s="26">
        <v>30</v>
      </c>
      <c r="F9" s="32">
        <v>5251452</v>
      </c>
      <c r="G9" s="27">
        <f>E9*F9</f>
        <v>157543560</v>
      </c>
      <c r="H9" s="28">
        <v>2682748.3199999998</v>
      </c>
      <c r="I9" s="28">
        <f>E9*H9</f>
        <v>80482449.599999994</v>
      </c>
      <c r="J9" s="29">
        <f>G9+I9</f>
        <v>238026009.59999999</v>
      </c>
    </row>
    <row r="10" spans="2:10" x14ac:dyDescent="0.2">
      <c r="B10" s="23">
        <f>B9+0.01</f>
        <v>6.02</v>
      </c>
      <c r="C10" s="31" t="s">
        <v>106</v>
      </c>
      <c r="D10" s="78" t="s">
        <v>17</v>
      </c>
      <c r="E10" s="26">
        <v>30</v>
      </c>
      <c r="F10" s="32">
        <v>175410</v>
      </c>
      <c r="G10" s="27">
        <f t="shared" ref="G10:G34" si="0">E10*F10</f>
        <v>5262300</v>
      </c>
      <c r="H10" s="28">
        <v>203136.992</v>
      </c>
      <c r="I10" s="28">
        <f t="shared" ref="I10:I34" si="1">E10*H10</f>
        <v>6094109.7599999998</v>
      </c>
      <c r="J10" s="29">
        <f t="shared" ref="J10:J34" si="2">G10+I10</f>
        <v>11356409.76</v>
      </c>
    </row>
    <row r="11" spans="2:10" x14ac:dyDescent="0.2">
      <c r="B11" s="23">
        <f t="shared" ref="B11:B34" si="3">B10+0.01</f>
        <v>6.0299999999999994</v>
      </c>
      <c r="C11" s="31" t="s">
        <v>107</v>
      </c>
      <c r="D11" s="78" t="s">
        <v>17</v>
      </c>
      <c r="E11" s="26">
        <v>30</v>
      </c>
      <c r="F11" s="32">
        <v>549178</v>
      </c>
      <c r="G11" s="27">
        <f t="shared" si="0"/>
        <v>16475340</v>
      </c>
      <c r="H11" s="28">
        <v>219306.23200000002</v>
      </c>
      <c r="I11" s="28">
        <f t="shared" si="1"/>
        <v>6579186.9600000009</v>
      </c>
      <c r="J11" s="29">
        <f t="shared" si="2"/>
        <v>23054526.960000001</v>
      </c>
    </row>
    <row r="12" spans="2:10" x14ac:dyDescent="0.2">
      <c r="B12" s="23">
        <f t="shared" si="3"/>
        <v>6.0399999999999991</v>
      </c>
      <c r="C12" s="31" t="s">
        <v>108</v>
      </c>
      <c r="D12" s="78" t="s">
        <v>17</v>
      </c>
      <c r="E12" s="26">
        <v>30</v>
      </c>
      <c r="F12" s="32">
        <v>2999598</v>
      </c>
      <c r="G12" s="27">
        <f t="shared" si="0"/>
        <v>89987940</v>
      </c>
      <c r="H12" s="28">
        <v>680994.05200000003</v>
      </c>
      <c r="I12" s="28">
        <f t="shared" si="1"/>
        <v>20429821.560000002</v>
      </c>
      <c r="J12" s="29">
        <f t="shared" si="2"/>
        <v>110417761.56</v>
      </c>
    </row>
    <row r="13" spans="2:10" x14ac:dyDescent="0.2">
      <c r="B13" s="23">
        <f t="shared" si="3"/>
        <v>6.0499999999999989</v>
      </c>
      <c r="C13" s="31" t="s">
        <v>20</v>
      </c>
      <c r="D13" s="78" t="s">
        <v>17</v>
      </c>
      <c r="E13" s="26">
        <v>30</v>
      </c>
      <c r="F13" s="27">
        <v>737969.81200000003</v>
      </c>
      <c r="G13" s="27">
        <f t="shared" si="0"/>
        <v>22139094.359999999</v>
      </c>
      <c r="H13" s="66">
        <v>225338.40000000002</v>
      </c>
      <c r="I13" s="28">
        <f t="shared" si="1"/>
        <v>6760152.0000000009</v>
      </c>
      <c r="J13" s="29">
        <f t="shared" si="2"/>
        <v>28899246.359999999</v>
      </c>
    </row>
    <row r="14" spans="2:10" x14ac:dyDescent="0.2">
      <c r="B14" s="23">
        <f t="shared" si="3"/>
        <v>6.0599999999999987</v>
      </c>
      <c r="C14" s="31" t="s">
        <v>24</v>
      </c>
      <c r="D14" s="78" t="s">
        <v>17</v>
      </c>
      <c r="E14" s="26">
        <v>30</v>
      </c>
      <c r="F14" s="32">
        <v>9704713</v>
      </c>
      <c r="G14" s="27">
        <f t="shared" si="0"/>
        <v>291141390</v>
      </c>
      <c r="H14" s="28">
        <v>1462743.932</v>
      </c>
      <c r="I14" s="28">
        <f t="shared" si="1"/>
        <v>43882317.960000001</v>
      </c>
      <c r="J14" s="29">
        <f t="shared" si="2"/>
        <v>335023707.95999998</v>
      </c>
    </row>
    <row r="15" spans="2:10" x14ac:dyDescent="0.2">
      <c r="B15" s="23">
        <f t="shared" si="3"/>
        <v>6.0699999999999985</v>
      </c>
      <c r="C15" s="31" t="s">
        <v>25</v>
      </c>
      <c r="D15" s="78" t="s">
        <v>17</v>
      </c>
      <c r="E15" s="26">
        <v>30</v>
      </c>
      <c r="F15" s="32"/>
      <c r="G15" s="27">
        <f t="shared" si="0"/>
        <v>0</v>
      </c>
      <c r="H15" s="28"/>
      <c r="I15" s="28">
        <f t="shared" si="1"/>
        <v>0</v>
      </c>
      <c r="J15" s="29">
        <f t="shared" si="2"/>
        <v>0</v>
      </c>
    </row>
    <row r="16" spans="2:10" x14ac:dyDescent="0.2">
      <c r="B16" s="23">
        <f t="shared" si="3"/>
        <v>6.0799999999999983</v>
      </c>
      <c r="C16" s="31" t="s">
        <v>93</v>
      </c>
      <c r="D16" s="78" t="s">
        <v>17</v>
      </c>
      <c r="E16" s="26">
        <v>30</v>
      </c>
      <c r="F16" s="32"/>
      <c r="G16" s="27">
        <f t="shared" si="0"/>
        <v>0</v>
      </c>
      <c r="H16" s="28"/>
      <c r="I16" s="28">
        <f t="shared" si="1"/>
        <v>0</v>
      </c>
      <c r="J16" s="29">
        <f t="shared" si="2"/>
        <v>0</v>
      </c>
    </row>
    <row r="17" spans="2:10" x14ac:dyDescent="0.2">
      <c r="B17" s="23">
        <f t="shared" si="3"/>
        <v>6.0899999999999981</v>
      </c>
      <c r="C17" s="31" t="s">
        <v>27</v>
      </c>
      <c r="D17" s="78" t="s">
        <v>17</v>
      </c>
      <c r="E17" s="26">
        <v>30</v>
      </c>
      <c r="F17" s="32"/>
      <c r="G17" s="27">
        <f t="shared" si="0"/>
        <v>0</v>
      </c>
      <c r="H17" s="28"/>
      <c r="I17" s="28">
        <f t="shared" si="1"/>
        <v>0</v>
      </c>
      <c r="J17" s="29">
        <f t="shared" si="2"/>
        <v>0</v>
      </c>
    </row>
    <row r="18" spans="2:10" ht="51" x14ac:dyDescent="0.2">
      <c r="B18" s="23">
        <f t="shared" si="3"/>
        <v>6.0999999999999979</v>
      </c>
      <c r="C18" s="31" t="s">
        <v>96</v>
      </c>
      <c r="D18" s="78" t="s">
        <v>17</v>
      </c>
      <c r="E18" s="26">
        <v>30</v>
      </c>
      <c r="F18" s="32">
        <v>9121928</v>
      </c>
      <c r="G18" s="27">
        <f t="shared" si="0"/>
        <v>273657840</v>
      </c>
      <c r="H18" s="28">
        <v>2798928.71491072</v>
      </c>
      <c r="I18" s="28">
        <f t="shared" si="1"/>
        <v>83967861.447321594</v>
      </c>
      <c r="J18" s="29">
        <f t="shared" si="2"/>
        <v>357625701.44732159</v>
      </c>
    </row>
    <row r="19" spans="2:10" x14ac:dyDescent="0.2">
      <c r="B19" s="23">
        <f t="shared" si="3"/>
        <v>6.1099999999999977</v>
      </c>
      <c r="C19" s="31" t="s">
        <v>109</v>
      </c>
      <c r="D19" s="78" t="s">
        <v>17</v>
      </c>
      <c r="E19" s="26">
        <v>30</v>
      </c>
      <c r="F19" s="33">
        <v>812392.93604651175</v>
      </c>
      <c r="G19" s="27">
        <f t="shared" si="0"/>
        <v>24371788.081395354</v>
      </c>
      <c r="H19" s="80">
        <v>328466.10115148878</v>
      </c>
      <c r="I19" s="28">
        <f t="shared" si="1"/>
        <v>9853983.0345446635</v>
      </c>
      <c r="J19" s="29">
        <f t="shared" si="2"/>
        <v>34225771.115940019</v>
      </c>
    </row>
    <row r="20" spans="2:10" x14ac:dyDescent="0.2">
      <c r="B20" s="23">
        <f t="shared" si="3"/>
        <v>6.1199999999999974</v>
      </c>
      <c r="C20" s="31" t="s">
        <v>110</v>
      </c>
      <c r="D20" s="78" t="s">
        <v>17</v>
      </c>
      <c r="E20" s="26">
        <v>30</v>
      </c>
      <c r="F20" s="33">
        <v>389948.60930232564</v>
      </c>
      <c r="G20" s="27">
        <f t="shared" si="0"/>
        <v>11698458.27906977</v>
      </c>
      <c r="H20" s="80">
        <v>310191.80915148876</v>
      </c>
      <c r="I20" s="28">
        <f t="shared" si="1"/>
        <v>9305754.2745446637</v>
      </c>
      <c r="J20" s="29">
        <f t="shared" si="2"/>
        <v>21004212.553614434</v>
      </c>
    </row>
    <row r="21" spans="2:10" x14ac:dyDescent="0.2">
      <c r="B21" s="23">
        <f t="shared" si="3"/>
        <v>6.1299999999999972</v>
      </c>
      <c r="C21" s="31" t="s">
        <v>101</v>
      </c>
      <c r="D21" s="78" t="s">
        <v>17</v>
      </c>
      <c r="E21" s="26">
        <v>30</v>
      </c>
      <c r="F21" s="33">
        <v>1624785.8720930235</v>
      </c>
      <c r="G21" s="27">
        <f t="shared" si="0"/>
        <v>48743576.162790708</v>
      </c>
      <c r="H21" s="80">
        <v>1634674.4474746021</v>
      </c>
      <c r="I21" s="28">
        <f t="shared" si="1"/>
        <v>49040233.424238063</v>
      </c>
      <c r="J21" s="29">
        <f t="shared" si="2"/>
        <v>97783809.587028772</v>
      </c>
    </row>
    <row r="22" spans="2:10" ht="25.5" x14ac:dyDescent="0.2">
      <c r="B22" s="23">
        <f t="shared" si="3"/>
        <v>6.139999999999997</v>
      </c>
      <c r="C22" s="31" t="s">
        <v>69</v>
      </c>
      <c r="D22" s="78" t="s">
        <v>17</v>
      </c>
      <c r="E22" s="26">
        <v>30</v>
      </c>
      <c r="F22" s="33">
        <v>4486477.7168448111</v>
      </c>
      <c r="G22" s="27">
        <f t="shared" si="0"/>
        <v>134594331.50534433</v>
      </c>
      <c r="H22" s="28">
        <v>3914826.5360000003</v>
      </c>
      <c r="I22" s="28">
        <f t="shared" si="1"/>
        <v>117444796.08000001</v>
      </c>
      <c r="J22" s="29">
        <f t="shared" si="2"/>
        <v>252039127.58534434</v>
      </c>
    </row>
    <row r="23" spans="2:10" x14ac:dyDescent="0.2">
      <c r="B23" s="23">
        <f t="shared" si="3"/>
        <v>6.1499999999999968</v>
      </c>
      <c r="C23" s="31" t="s">
        <v>102</v>
      </c>
      <c r="D23" s="78" t="s">
        <v>17</v>
      </c>
      <c r="E23" s="26">
        <v>30</v>
      </c>
      <c r="F23" s="27">
        <v>319476.85399999999</v>
      </c>
      <c r="G23" s="27">
        <f t="shared" si="0"/>
        <v>9584305.6199999992</v>
      </c>
      <c r="H23" s="66">
        <v>688534</v>
      </c>
      <c r="I23" s="28">
        <f t="shared" si="1"/>
        <v>20656020</v>
      </c>
      <c r="J23" s="29">
        <f t="shared" si="2"/>
        <v>30240325.619999997</v>
      </c>
    </row>
    <row r="24" spans="2:10" x14ac:dyDescent="0.2">
      <c r="B24" s="23">
        <f t="shared" si="3"/>
        <v>6.1599999999999966</v>
      </c>
      <c r="C24" s="34" t="s">
        <v>33</v>
      </c>
      <c r="D24" s="78" t="s">
        <v>17</v>
      </c>
      <c r="E24" s="26">
        <v>30</v>
      </c>
      <c r="F24" s="27">
        <v>275560</v>
      </c>
      <c r="G24" s="27">
        <f t="shared" si="0"/>
        <v>8266800</v>
      </c>
      <c r="H24" s="28">
        <v>180620</v>
      </c>
      <c r="I24" s="28">
        <f t="shared" si="1"/>
        <v>5418600</v>
      </c>
      <c r="J24" s="29">
        <f t="shared" si="2"/>
        <v>13685400</v>
      </c>
    </row>
    <row r="25" spans="2:10" x14ac:dyDescent="0.2">
      <c r="B25" s="23">
        <f t="shared" si="3"/>
        <v>6.1699999999999964</v>
      </c>
      <c r="C25" s="35" t="s">
        <v>34</v>
      </c>
      <c r="D25" s="78" t="s">
        <v>17</v>
      </c>
      <c r="E25" s="26">
        <v>60</v>
      </c>
      <c r="F25" s="27">
        <v>31385</v>
      </c>
      <c r="G25" s="27">
        <f t="shared" si="0"/>
        <v>1883100</v>
      </c>
      <c r="H25" s="28">
        <v>31603.894349247203</v>
      </c>
      <c r="I25" s="28">
        <f t="shared" si="1"/>
        <v>1896233.6609548321</v>
      </c>
      <c r="J25" s="29">
        <f t="shared" si="2"/>
        <v>3779333.6609548321</v>
      </c>
    </row>
    <row r="26" spans="2:10" ht="27.75" customHeight="1" x14ac:dyDescent="0.2">
      <c r="B26" s="23">
        <f t="shared" si="3"/>
        <v>6.1799999999999962</v>
      </c>
      <c r="C26" s="36" t="s">
        <v>35</v>
      </c>
      <c r="D26" s="78" t="s">
        <v>17</v>
      </c>
      <c r="E26" s="26">
        <v>30</v>
      </c>
      <c r="F26" s="27">
        <v>192904</v>
      </c>
      <c r="G26" s="27">
        <f t="shared" si="0"/>
        <v>5787120</v>
      </c>
      <c r="H26" s="28">
        <v>170263</v>
      </c>
      <c r="I26" s="28">
        <f t="shared" si="1"/>
        <v>5107890</v>
      </c>
      <c r="J26" s="29">
        <f t="shared" si="2"/>
        <v>10895010</v>
      </c>
    </row>
    <row r="27" spans="2:10" ht="25.5" x14ac:dyDescent="0.2">
      <c r="B27" s="23">
        <f t="shared" si="3"/>
        <v>6.1899999999999959</v>
      </c>
      <c r="C27" s="34" t="s">
        <v>36</v>
      </c>
      <c r="D27" s="78" t="s">
        <v>17</v>
      </c>
      <c r="E27" s="26">
        <v>60</v>
      </c>
      <c r="F27" s="27">
        <v>962106</v>
      </c>
      <c r="G27" s="27">
        <f t="shared" si="0"/>
        <v>57726360</v>
      </c>
      <c r="H27" s="28">
        <v>817672.19688000006</v>
      </c>
      <c r="I27" s="28">
        <f t="shared" si="1"/>
        <v>49060331.812800005</v>
      </c>
      <c r="J27" s="29">
        <f t="shared" si="2"/>
        <v>106786691.81280001</v>
      </c>
    </row>
    <row r="28" spans="2:10" x14ac:dyDescent="0.2">
      <c r="B28" s="23">
        <f t="shared" si="3"/>
        <v>6.1999999999999957</v>
      </c>
      <c r="C28" s="36" t="s">
        <v>37</v>
      </c>
      <c r="D28" s="25" t="s">
        <v>17</v>
      </c>
      <c r="E28" s="26">
        <v>30</v>
      </c>
      <c r="F28" s="27">
        <v>455761</v>
      </c>
      <c r="G28" s="27">
        <f t="shared" si="0"/>
        <v>13672830</v>
      </c>
      <c r="H28" s="28">
        <v>97455</v>
      </c>
      <c r="I28" s="28">
        <f t="shared" si="1"/>
        <v>2923650</v>
      </c>
      <c r="J28" s="29">
        <f t="shared" si="2"/>
        <v>16596480</v>
      </c>
    </row>
    <row r="29" spans="2:10" x14ac:dyDescent="0.2">
      <c r="B29" s="23">
        <f t="shared" si="3"/>
        <v>6.2099999999999955</v>
      </c>
      <c r="C29" s="34" t="s">
        <v>38</v>
      </c>
      <c r="D29" s="78" t="s">
        <v>17</v>
      </c>
      <c r="E29" s="26">
        <v>120</v>
      </c>
      <c r="F29" s="27">
        <v>7418.4565171643308</v>
      </c>
      <c r="G29" s="27">
        <f t="shared" si="0"/>
        <v>890214.78205971967</v>
      </c>
      <c r="H29" s="28">
        <v>2017.5034107997981</v>
      </c>
      <c r="I29" s="28">
        <f t="shared" si="1"/>
        <v>242100.40929597575</v>
      </c>
      <c r="J29" s="29">
        <f t="shared" si="2"/>
        <v>1132315.1913556955</v>
      </c>
    </row>
    <row r="30" spans="2:10" ht="25.5" x14ac:dyDescent="0.2">
      <c r="B30" s="23">
        <f t="shared" si="3"/>
        <v>6.2199999999999953</v>
      </c>
      <c r="C30" s="34" t="s">
        <v>39</v>
      </c>
      <c r="D30" s="78" t="s">
        <v>17</v>
      </c>
      <c r="E30" s="26">
        <v>30</v>
      </c>
      <c r="F30" s="27">
        <v>149435</v>
      </c>
      <c r="G30" s="27">
        <f t="shared" si="0"/>
        <v>4483050</v>
      </c>
      <c r="H30" s="28">
        <v>138607.71709633575</v>
      </c>
      <c r="I30" s="28">
        <f t="shared" si="1"/>
        <v>4158231.5128900725</v>
      </c>
      <c r="J30" s="29">
        <f t="shared" si="2"/>
        <v>8641281.5128900725</v>
      </c>
    </row>
    <row r="31" spans="2:10" ht="25.5" x14ac:dyDescent="0.2">
      <c r="B31" s="23">
        <f t="shared" si="3"/>
        <v>6.2299999999999951</v>
      </c>
      <c r="C31" s="34" t="s">
        <v>40</v>
      </c>
      <c r="D31" s="78" t="s">
        <v>17</v>
      </c>
      <c r="E31" s="26">
        <v>30</v>
      </c>
      <c r="F31" s="27">
        <v>263833</v>
      </c>
      <c r="G31" s="27">
        <f t="shared" si="0"/>
        <v>7914990</v>
      </c>
      <c r="H31" s="28">
        <v>2265263.3868821794</v>
      </c>
      <c r="I31" s="28">
        <f t="shared" si="1"/>
        <v>67957901.606465384</v>
      </c>
      <c r="J31" s="29">
        <f t="shared" si="2"/>
        <v>75872891.606465384</v>
      </c>
    </row>
    <row r="32" spans="2:10" x14ac:dyDescent="0.2">
      <c r="B32" s="23"/>
      <c r="C32" s="36" t="s">
        <v>41</v>
      </c>
      <c r="D32" s="25" t="s">
        <v>17</v>
      </c>
      <c r="E32" s="26">
        <v>360</v>
      </c>
      <c r="F32" s="27">
        <v>7441</v>
      </c>
      <c r="G32" s="27">
        <f t="shared" si="0"/>
        <v>2678760</v>
      </c>
      <c r="H32" s="28">
        <v>45514</v>
      </c>
      <c r="I32" s="28">
        <f t="shared" si="1"/>
        <v>16385040</v>
      </c>
      <c r="J32" s="29">
        <f t="shared" si="2"/>
        <v>19063800</v>
      </c>
    </row>
    <row r="33" spans="2:10" x14ac:dyDescent="0.2">
      <c r="B33" s="23">
        <f>B31+0.01</f>
        <v>6.2399999999999949</v>
      </c>
      <c r="C33" s="31" t="s">
        <v>74</v>
      </c>
      <c r="D33" s="78" t="s">
        <v>43</v>
      </c>
      <c r="E33" s="26">
        <v>30</v>
      </c>
      <c r="F33" s="27">
        <v>2977793.9000000004</v>
      </c>
      <c r="G33" s="27">
        <f t="shared" si="0"/>
        <v>89333817.000000015</v>
      </c>
      <c r="H33" s="66"/>
      <c r="I33" s="28">
        <f t="shared" si="1"/>
        <v>0</v>
      </c>
      <c r="J33" s="29">
        <f t="shared" si="2"/>
        <v>89333817.000000015</v>
      </c>
    </row>
    <row r="34" spans="2:10" ht="13.5" thickBot="1" x14ac:dyDescent="0.25">
      <c r="B34" s="37">
        <f t="shared" si="3"/>
        <v>6.2499999999999947</v>
      </c>
      <c r="C34" s="67" t="s">
        <v>44</v>
      </c>
      <c r="D34" s="81" t="s">
        <v>43</v>
      </c>
      <c r="E34" s="39">
        <v>1</v>
      </c>
      <c r="F34" s="40">
        <v>9000000</v>
      </c>
      <c r="G34" s="40">
        <f t="shared" si="0"/>
        <v>9000000</v>
      </c>
      <c r="H34" s="41"/>
      <c r="I34" s="41">
        <f t="shared" si="1"/>
        <v>0</v>
      </c>
      <c r="J34" s="42">
        <f t="shared" si="2"/>
        <v>9000000</v>
      </c>
    </row>
    <row r="35" spans="2:10" ht="13.5" thickBot="1" x14ac:dyDescent="0.25"/>
    <row r="36" spans="2:10" ht="15.75" x14ac:dyDescent="0.2">
      <c r="F36" s="44"/>
      <c r="G36" s="45"/>
      <c r="H36" s="46" t="s">
        <v>45</v>
      </c>
      <c r="I36" s="47"/>
      <c r="J36" s="48">
        <f>SUM(J9:J34)</f>
        <v>1894483630.8937149</v>
      </c>
    </row>
    <row r="37" spans="2:10" x14ac:dyDescent="0.2">
      <c r="F37" s="49" t="s">
        <v>46</v>
      </c>
      <c r="G37" s="50"/>
      <c r="H37" s="51"/>
      <c r="I37" s="52">
        <v>0.22</v>
      </c>
      <c r="J37" s="29">
        <f>J36*I37</f>
        <v>416786398.79661727</v>
      </c>
    </row>
    <row r="38" spans="2:10" x14ac:dyDescent="0.2">
      <c r="F38" s="49" t="s">
        <v>47</v>
      </c>
      <c r="G38" s="50"/>
      <c r="H38" s="51"/>
      <c r="I38" s="52">
        <v>0.04</v>
      </c>
      <c r="J38" s="29">
        <f>J36*I38</f>
        <v>75779345.235748604</v>
      </c>
    </row>
    <row r="39" spans="2:10" x14ac:dyDescent="0.2">
      <c r="F39" s="49" t="s">
        <v>48</v>
      </c>
      <c r="G39" s="50"/>
      <c r="H39" s="51"/>
      <c r="I39" s="52">
        <v>0.04</v>
      </c>
      <c r="J39" s="29">
        <f>J36*I39</f>
        <v>75779345.235748604</v>
      </c>
    </row>
    <row r="40" spans="2:10" x14ac:dyDescent="0.2">
      <c r="F40" s="49" t="s">
        <v>49</v>
      </c>
      <c r="G40" s="50"/>
      <c r="H40" s="51"/>
      <c r="I40" s="53"/>
      <c r="J40" s="29"/>
    </row>
    <row r="41" spans="2:10" x14ac:dyDescent="0.2">
      <c r="F41" s="49" t="s">
        <v>50</v>
      </c>
      <c r="G41" s="50"/>
      <c r="H41" s="51"/>
      <c r="I41" s="52">
        <v>0.19</v>
      </c>
      <c r="J41" s="29">
        <f>J39*I41</f>
        <v>14398075.594792236</v>
      </c>
    </row>
    <row r="42" spans="2:10" x14ac:dyDescent="0.2">
      <c r="F42" s="54"/>
      <c r="G42" s="50"/>
      <c r="H42" s="51"/>
      <c r="I42" s="55"/>
      <c r="J42" s="29"/>
    </row>
    <row r="43" spans="2:10" ht="16.5" thickBot="1" x14ac:dyDescent="0.25">
      <c r="F43" s="56"/>
      <c r="G43" s="57"/>
      <c r="H43" s="58" t="s">
        <v>51</v>
      </c>
      <c r="I43" s="41"/>
      <c r="J43" s="59">
        <f>SUM(J36:J41)</f>
        <v>2477226795.7566223</v>
      </c>
    </row>
    <row r="45" spans="2:10" ht="18" x14ac:dyDescent="0.2">
      <c r="B45" s="60" t="s">
        <v>52</v>
      </c>
      <c r="C45" s="30" t="s">
        <v>339</v>
      </c>
    </row>
  </sheetData>
  <mergeCells count="4">
    <mergeCell ref="F6:G6"/>
    <mergeCell ref="H6:I6"/>
    <mergeCell ref="B7:B8"/>
    <mergeCell ref="C7:C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2CBCA-4E2E-475D-A30D-FB45DE025546}">
  <sheetPr>
    <tabColor rgb="FF92D050"/>
  </sheetPr>
  <dimension ref="B1:Q40"/>
  <sheetViews>
    <sheetView zoomScale="90" zoomScaleNormal="90" workbookViewId="0"/>
  </sheetViews>
  <sheetFormatPr baseColWidth="10" defaultColWidth="12.625" defaultRowHeight="12.75" x14ac:dyDescent="0.2"/>
  <cols>
    <col min="1" max="1" width="5.5" style="30" customWidth="1"/>
    <col min="2" max="2" width="6.125" style="64" customWidth="1"/>
    <col min="3" max="3" width="61.625" style="30" customWidth="1"/>
    <col min="4" max="4" width="9.625" style="30" customWidth="1"/>
    <col min="5" max="5" width="9.625" style="62" customWidth="1"/>
    <col min="6" max="6" width="11.625" style="63" customWidth="1"/>
    <col min="7" max="7" width="16.375" style="63" customWidth="1"/>
    <col min="8" max="8" width="11.625" style="62" customWidth="1"/>
    <col min="9" max="9" width="13.75" style="62" customWidth="1"/>
    <col min="10" max="10" width="16.375" style="62" customWidth="1"/>
    <col min="11" max="16384" width="12.625" style="30"/>
  </cols>
  <sheetData>
    <row r="1" spans="2:10" s="2" customFormat="1" ht="15" x14ac:dyDescent="0.2">
      <c r="B1" s="8"/>
      <c r="E1" s="4"/>
      <c r="F1" s="5"/>
      <c r="G1" s="5"/>
      <c r="H1" s="4"/>
      <c r="I1" s="4"/>
      <c r="J1" s="4"/>
    </row>
    <row r="2" spans="2:10" s="2" customFormat="1" ht="15.75" x14ac:dyDescent="0.25">
      <c r="B2" s="1" t="s">
        <v>0</v>
      </c>
      <c r="D2" s="3"/>
      <c r="E2" s="4"/>
      <c r="F2" s="5"/>
      <c r="G2" s="5"/>
      <c r="H2" s="4"/>
      <c r="I2" s="4"/>
      <c r="J2" s="4"/>
    </row>
    <row r="3" spans="2:10" s="2" customFormat="1" ht="15.75" x14ac:dyDescent="0.25">
      <c r="B3" s="1" t="s">
        <v>1</v>
      </c>
      <c r="C3" s="5"/>
      <c r="D3" s="6" t="s">
        <v>2</v>
      </c>
      <c r="E3" s="4"/>
      <c r="F3" s="5"/>
      <c r="G3" s="5"/>
      <c r="H3" s="7"/>
      <c r="I3" s="4"/>
      <c r="J3" s="4"/>
    </row>
    <row r="4" spans="2:10" s="2" customFormat="1" ht="15.75" x14ac:dyDescent="0.25">
      <c r="B4" s="1" t="s">
        <v>361</v>
      </c>
      <c r="D4" s="3"/>
      <c r="E4" s="4"/>
      <c r="F4" s="5"/>
      <c r="G4" s="5"/>
      <c r="H4" s="4"/>
      <c r="I4" s="4"/>
      <c r="J4" s="4"/>
    </row>
    <row r="5" spans="2:10" s="2" customFormat="1" ht="15.75" thickBot="1" x14ac:dyDescent="0.25">
      <c r="B5" s="8"/>
      <c r="E5" s="4"/>
      <c r="F5" s="5"/>
      <c r="G5" s="5"/>
      <c r="H5" s="4"/>
      <c r="I5" s="4"/>
      <c r="J5" s="4"/>
    </row>
    <row r="6" spans="2:10" s="14" customFormat="1" ht="31.5" x14ac:dyDescent="0.25">
      <c r="B6" s="11" t="s">
        <v>3</v>
      </c>
      <c r="C6" s="12" t="s">
        <v>4</v>
      </c>
      <c r="D6" s="12" t="s">
        <v>5</v>
      </c>
      <c r="E6" s="12" t="s">
        <v>6</v>
      </c>
      <c r="F6" s="401" t="s">
        <v>7</v>
      </c>
      <c r="G6" s="401"/>
      <c r="H6" s="401" t="s">
        <v>8</v>
      </c>
      <c r="I6" s="401"/>
      <c r="J6" s="13" t="s">
        <v>9</v>
      </c>
    </row>
    <row r="7" spans="2:10" s="19" customFormat="1" ht="30" x14ac:dyDescent="0.2">
      <c r="B7" s="402">
        <v>7</v>
      </c>
      <c r="C7" s="404" t="s">
        <v>111</v>
      </c>
      <c r="D7" s="15"/>
      <c r="E7" s="16"/>
      <c r="F7" s="17" t="s">
        <v>11</v>
      </c>
      <c r="G7" s="17" t="s">
        <v>12</v>
      </c>
      <c r="H7" s="17" t="s">
        <v>11</v>
      </c>
      <c r="I7" s="17" t="s">
        <v>13</v>
      </c>
      <c r="J7" s="18" t="s">
        <v>14</v>
      </c>
    </row>
    <row r="8" spans="2:10" s="19" customFormat="1" ht="15.75" x14ac:dyDescent="0.2">
      <c r="B8" s="403"/>
      <c r="C8" s="405"/>
      <c r="D8" s="20"/>
      <c r="E8" s="169" t="s">
        <v>14</v>
      </c>
      <c r="F8" s="21" t="s">
        <v>15</v>
      </c>
      <c r="G8" s="21" t="s">
        <v>15</v>
      </c>
      <c r="H8" s="21" t="s">
        <v>15</v>
      </c>
      <c r="I8" s="21" t="s">
        <v>15</v>
      </c>
      <c r="J8" s="22" t="s">
        <v>15</v>
      </c>
    </row>
    <row r="9" spans="2:10" ht="25.5" x14ac:dyDescent="0.2">
      <c r="B9" s="23">
        <f>B7+0.01</f>
        <v>7.01</v>
      </c>
      <c r="C9" s="82" t="s">
        <v>112</v>
      </c>
      <c r="D9" s="25" t="s">
        <v>17</v>
      </c>
      <c r="E9" s="26">
        <v>183</v>
      </c>
      <c r="F9" s="27">
        <v>1700201</v>
      </c>
      <c r="G9" s="27">
        <f>E9*F9</f>
        <v>311136783</v>
      </c>
      <c r="H9" s="28">
        <v>442619</v>
      </c>
      <c r="I9" s="28">
        <f>E9*H9</f>
        <v>80999277</v>
      </c>
      <c r="J9" s="29">
        <f>G9+I9</f>
        <v>392136060</v>
      </c>
    </row>
    <row r="10" spans="2:10" x14ac:dyDescent="0.2">
      <c r="B10" s="23">
        <f>B9+0.01</f>
        <v>7.02</v>
      </c>
      <c r="C10" s="82" t="s">
        <v>113</v>
      </c>
      <c r="D10" s="25" t="s">
        <v>17</v>
      </c>
      <c r="E10" s="26">
        <v>2</v>
      </c>
      <c r="F10" s="27">
        <v>5158994</v>
      </c>
      <c r="G10" s="27">
        <f t="shared" ref="G10:G24" si="0">E10*F10</f>
        <v>10317988</v>
      </c>
      <c r="H10" s="28">
        <v>570804</v>
      </c>
      <c r="I10" s="28">
        <f t="shared" ref="I10:I31" si="1">E10*H10</f>
        <v>1141608</v>
      </c>
      <c r="J10" s="29">
        <f t="shared" ref="J10:J31" si="2">G10+I10</f>
        <v>11459596</v>
      </c>
    </row>
    <row r="11" spans="2:10" x14ac:dyDescent="0.2">
      <c r="B11" s="23">
        <f t="shared" ref="B11:B31" si="3">B10+0.01</f>
        <v>7.0299999999999994</v>
      </c>
      <c r="C11" s="82" t="s">
        <v>114</v>
      </c>
      <c r="D11" s="25" t="s">
        <v>17</v>
      </c>
      <c r="E11" s="26">
        <v>2</v>
      </c>
      <c r="F11" s="27">
        <v>5158994</v>
      </c>
      <c r="G11" s="27">
        <f t="shared" si="0"/>
        <v>10317988</v>
      </c>
      <c r="H11" s="28">
        <v>570804</v>
      </c>
      <c r="I11" s="28">
        <f t="shared" si="1"/>
        <v>1141608</v>
      </c>
      <c r="J11" s="29">
        <f t="shared" si="2"/>
        <v>11459596</v>
      </c>
    </row>
    <row r="12" spans="2:10" x14ac:dyDescent="0.2">
      <c r="B12" s="23">
        <f t="shared" si="3"/>
        <v>7.0399999999999991</v>
      </c>
      <c r="C12" s="82" t="s">
        <v>115</v>
      </c>
      <c r="D12" s="25" t="s">
        <v>17</v>
      </c>
      <c r="E12" s="26">
        <v>6</v>
      </c>
      <c r="F12" s="27">
        <v>396921</v>
      </c>
      <c r="G12" s="27">
        <f t="shared" si="0"/>
        <v>2381526</v>
      </c>
      <c r="H12" s="28">
        <v>240504</v>
      </c>
      <c r="I12" s="28">
        <f t="shared" si="1"/>
        <v>1443024</v>
      </c>
      <c r="J12" s="29">
        <f t="shared" si="2"/>
        <v>3824550</v>
      </c>
    </row>
    <row r="13" spans="2:10" x14ac:dyDescent="0.2">
      <c r="B13" s="23">
        <f t="shared" si="3"/>
        <v>7.0499999999999989</v>
      </c>
      <c r="C13" s="82" t="s">
        <v>116</v>
      </c>
      <c r="D13" s="25" t="s">
        <v>17</v>
      </c>
      <c r="E13" s="26">
        <v>366</v>
      </c>
      <c r="F13" s="27">
        <v>121768</v>
      </c>
      <c r="G13" s="27">
        <f t="shared" si="0"/>
        <v>44567088</v>
      </c>
      <c r="H13" s="28">
        <v>23134</v>
      </c>
      <c r="I13" s="28">
        <f t="shared" si="1"/>
        <v>8467044</v>
      </c>
      <c r="J13" s="29">
        <f t="shared" si="2"/>
        <v>53034132</v>
      </c>
    </row>
    <row r="14" spans="2:10" x14ac:dyDescent="0.2">
      <c r="B14" s="23">
        <f t="shared" si="3"/>
        <v>7.0599999999999987</v>
      </c>
      <c r="C14" s="82" t="s">
        <v>117</v>
      </c>
      <c r="D14" s="25" t="s">
        <v>17</v>
      </c>
      <c r="E14" s="26">
        <v>8</v>
      </c>
      <c r="F14" s="27">
        <v>385359</v>
      </c>
      <c r="G14" s="27">
        <f t="shared" si="0"/>
        <v>3082872</v>
      </c>
      <c r="H14" s="28">
        <f>15653+17853</f>
        <v>33506</v>
      </c>
      <c r="I14" s="28">
        <f t="shared" si="1"/>
        <v>268048</v>
      </c>
      <c r="J14" s="29">
        <f t="shared" si="2"/>
        <v>3350920</v>
      </c>
    </row>
    <row r="15" spans="2:10" x14ac:dyDescent="0.2">
      <c r="B15" s="23">
        <f t="shared" si="3"/>
        <v>7.0699999999999985</v>
      </c>
      <c r="C15" s="82" t="s">
        <v>364</v>
      </c>
      <c r="D15" s="25" t="s">
        <v>17</v>
      </c>
      <c r="E15" s="26">
        <v>8</v>
      </c>
      <c r="F15" s="27">
        <v>2443775</v>
      </c>
      <c r="G15" s="27">
        <f t="shared" si="0"/>
        <v>19550200</v>
      </c>
      <c r="H15" s="28">
        <v>132081</v>
      </c>
      <c r="I15" s="28">
        <f t="shared" si="1"/>
        <v>1056648</v>
      </c>
      <c r="J15" s="29">
        <f t="shared" si="2"/>
        <v>20606848</v>
      </c>
    </row>
    <row r="16" spans="2:10" x14ac:dyDescent="0.2">
      <c r="B16" s="23">
        <f t="shared" si="3"/>
        <v>7.0799999999999983</v>
      </c>
      <c r="C16" s="82" t="s">
        <v>117</v>
      </c>
      <c r="D16" s="25" t="s">
        <v>17</v>
      </c>
      <c r="E16" s="26">
        <v>1</v>
      </c>
      <c r="F16" s="27">
        <v>408153</v>
      </c>
      <c r="G16" s="27">
        <f t="shared" si="0"/>
        <v>408153</v>
      </c>
      <c r="H16" s="28"/>
      <c r="I16" s="28">
        <f t="shared" si="1"/>
        <v>0</v>
      </c>
      <c r="J16" s="29">
        <f t="shared" si="2"/>
        <v>408153</v>
      </c>
    </row>
    <row r="17" spans="2:17" x14ac:dyDescent="0.2">
      <c r="B17" s="23">
        <f t="shared" si="3"/>
        <v>7.0899999999999981</v>
      </c>
      <c r="C17" s="82" t="s">
        <v>118</v>
      </c>
      <c r="D17" s="25" t="s">
        <v>17</v>
      </c>
      <c r="E17" s="26">
        <v>1</v>
      </c>
      <c r="F17" s="27"/>
      <c r="G17" s="27">
        <f t="shared" si="0"/>
        <v>0</v>
      </c>
      <c r="H17" s="28">
        <v>114597000</v>
      </c>
      <c r="I17" s="28">
        <f t="shared" si="1"/>
        <v>114597000</v>
      </c>
      <c r="J17" s="29">
        <f t="shared" si="2"/>
        <v>114597000</v>
      </c>
    </row>
    <row r="18" spans="2:17" x14ac:dyDescent="0.2">
      <c r="B18" s="23">
        <f t="shared" si="3"/>
        <v>7.0999999999999979</v>
      </c>
      <c r="C18" s="82" t="s">
        <v>119</v>
      </c>
      <c r="D18" s="25" t="s">
        <v>17</v>
      </c>
      <c r="E18" s="26">
        <v>1</v>
      </c>
      <c r="F18" s="27">
        <v>25088477</v>
      </c>
      <c r="G18" s="27">
        <f t="shared" si="0"/>
        <v>25088477</v>
      </c>
      <c r="H18" s="28">
        <v>1330546</v>
      </c>
      <c r="I18" s="28">
        <f t="shared" si="1"/>
        <v>1330546</v>
      </c>
      <c r="J18" s="29">
        <f t="shared" si="2"/>
        <v>26419023</v>
      </c>
    </row>
    <row r="19" spans="2:17" x14ac:dyDescent="0.2">
      <c r="B19" s="23">
        <f t="shared" si="3"/>
        <v>7.1099999999999977</v>
      </c>
      <c r="C19" s="82" t="s">
        <v>120</v>
      </c>
      <c r="D19" s="25" t="s">
        <v>17</v>
      </c>
      <c r="E19" s="26">
        <v>1</v>
      </c>
      <c r="F19" s="27">
        <v>21072438</v>
      </c>
      <c r="G19" s="27">
        <f t="shared" si="0"/>
        <v>21072438</v>
      </c>
      <c r="H19" s="28">
        <v>1330546</v>
      </c>
      <c r="I19" s="28">
        <f t="shared" si="1"/>
        <v>1330546</v>
      </c>
      <c r="J19" s="29">
        <f t="shared" si="2"/>
        <v>22402984</v>
      </c>
    </row>
    <row r="20" spans="2:17" ht="25.5" x14ac:dyDescent="0.2">
      <c r="B20" s="23">
        <f t="shared" si="3"/>
        <v>7.1199999999999974</v>
      </c>
      <c r="C20" s="84" t="s">
        <v>121</v>
      </c>
      <c r="D20" s="65" t="s">
        <v>122</v>
      </c>
      <c r="E20" s="26">
        <v>291121.59999999998</v>
      </c>
      <c r="F20" s="27">
        <v>2337</v>
      </c>
      <c r="G20" s="27">
        <f>E20*F20</f>
        <v>680351179.19999993</v>
      </c>
      <c r="H20" s="28">
        <v>5271.5720000000001</v>
      </c>
      <c r="I20" s="28">
        <f t="shared" si="1"/>
        <v>1534668475.1552</v>
      </c>
      <c r="J20" s="29">
        <f t="shared" si="2"/>
        <v>2215019654.3551998</v>
      </c>
    </row>
    <row r="21" spans="2:17" ht="38.25" x14ac:dyDescent="0.2">
      <c r="B21" s="23">
        <f t="shared" si="3"/>
        <v>7.1299999999999972</v>
      </c>
      <c r="C21" s="36" t="s">
        <v>123</v>
      </c>
      <c r="D21" s="25" t="s">
        <v>17</v>
      </c>
      <c r="E21" s="26">
        <v>340.7244</v>
      </c>
      <c r="F21" s="33">
        <v>962106.06</v>
      </c>
      <c r="G21" s="27">
        <f t="shared" si="0"/>
        <v>327813010.02986401</v>
      </c>
      <c r="H21" s="80">
        <v>817672.19688000006</v>
      </c>
      <c r="I21" s="28">
        <f t="shared" si="1"/>
        <v>278600868.67861992</v>
      </c>
      <c r="J21" s="29">
        <f t="shared" si="2"/>
        <v>606413878.70848393</v>
      </c>
      <c r="L21" s="62"/>
    </row>
    <row r="22" spans="2:17" ht="25.5" x14ac:dyDescent="0.2">
      <c r="B22" s="23">
        <f t="shared" si="3"/>
        <v>7.139999999999997</v>
      </c>
      <c r="C22" s="36" t="s">
        <v>35</v>
      </c>
      <c r="D22" s="25" t="s">
        <v>17</v>
      </c>
      <c r="E22" s="26">
        <v>219.6</v>
      </c>
      <c r="F22" s="33">
        <v>1540081.3953488371</v>
      </c>
      <c r="G22" s="27">
        <f t="shared" si="0"/>
        <v>338201874.41860461</v>
      </c>
      <c r="H22" s="80">
        <v>1634674.4474746021</v>
      </c>
      <c r="I22" s="28">
        <f t="shared" si="1"/>
        <v>358974508.66542262</v>
      </c>
      <c r="J22" s="29">
        <f t="shared" si="2"/>
        <v>697176383.08402729</v>
      </c>
    </row>
    <row r="23" spans="2:17" x14ac:dyDescent="0.2">
      <c r="B23" s="23">
        <f t="shared" si="3"/>
        <v>7.1499999999999968</v>
      </c>
      <c r="C23" s="36" t="s">
        <v>37</v>
      </c>
      <c r="D23" s="25" t="s">
        <v>17</v>
      </c>
      <c r="E23" s="26">
        <v>274.5</v>
      </c>
      <c r="F23" s="33">
        <v>455761</v>
      </c>
      <c r="G23" s="27">
        <f t="shared" si="0"/>
        <v>125106394.5</v>
      </c>
      <c r="H23" s="80">
        <v>97311</v>
      </c>
      <c r="I23" s="28">
        <f t="shared" si="1"/>
        <v>26711869.5</v>
      </c>
      <c r="J23" s="29">
        <f t="shared" si="2"/>
        <v>151818264</v>
      </c>
    </row>
    <row r="24" spans="2:17" ht="63.75" x14ac:dyDescent="0.2">
      <c r="B24" s="23">
        <f t="shared" si="3"/>
        <v>7.1599999999999966</v>
      </c>
      <c r="C24" s="36" t="s">
        <v>124</v>
      </c>
      <c r="D24" s="65" t="s">
        <v>122</v>
      </c>
      <c r="E24" s="26">
        <v>498</v>
      </c>
      <c r="F24" s="33">
        <v>77985</v>
      </c>
      <c r="G24" s="27">
        <f t="shared" si="0"/>
        <v>38836530</v>
      </c>
      <c r="H24" s="28">
        <v>473117.75</v>
      </c>
      <c r="I24" s="28">
        <f t="shared" si="1"/>
        <v>235612639.5</v>
      </c>
      <c r="J24" s="29">
        <f t="shared" si="2"/>
        <v>274449169.5</v>
      </c>
    </row>
    <row r="25" spans="2:17" ht="105.75" customHeight="1" x14ac:dyDescent="0.2">
      <c r="B25" s="23">
        <f t="shared" si="3"/>
        <v>7.1699999999999964</v>
      </c>
      <c r="C25" s="36" t="s">
        <v>341</v>
      </c>
      <c r="D25" s="86" t="s">
        <v>122</v>
      </c>
      <c r="E25" s="26">
        <v>280724.40000000002</v>
      </c>
      <c r="F25" s="27">
        <v>9833</v>
      </c>
      <c r="G25" s="27">
        <f>E25*F25</f>
        <v>2760363025.2000003</v>
      </c>
      <c r="H25" s="28">
        <v>25967</v>
      </c>
      <c r="I25" s="28">
        <f t="shared" si="1"/>
        <v>7289570494.8000002</v>
      </c>
      <c r="J25" s="29">
        <f t="shared" si="2"/>
        <v>10049933520</v>
      </c>
    </row>
    <row r="26" spans="2:17" ht="15.75" customHeight="1" x14ac:dyDescent="0.2">
      <c r="B26" s="23">
        <f t="shared" si="3"/>
        <v>7.1799999999999962</v>
      </c>
      <c r="C26" s="36" t="s">
        <v>399</v>
      </c>
      <c r="D26" s="86" t="s">
        <v>122</v>
      </c>
      <c r="E26" s="26">
        <v>280724.40000000002</v>
      </c>
      <c r="F26" s="27"/>
      <c r="G26" s="27">
        <f>E26*F26</f>
        <v>0</v>
      </c>
      <c r="H26" s="28">
        <v>3500</v>
      </c>
      <c r="I26" s="28">
        <f t="shared" si="1"/>
        <v>982535400.00000012</v>
      </c>
      <c r="J26" s="29">
        <f t="shared" si="2"/>
        <v>982535400.00000012</v>
      </c>
    </row>
    <row r="27" spans="2:17" x14ac:dyDescent="0.2">
      <c r="B27" s="23">
        <f t="shared" si="3"/>
        <v>7.1899999999999959</v>
      </c>
      <c r="C27" s="36" t="s">
        <v>125</v>
      </c>
      <c r="D27" s="25" t="s">
        <v>17</v>
      </c>
      <c r="E27" s="26">
        <v>322.83305999999999</v>
      </c>
      <c r="F27" s="27">
        <v>24801</v>
      </c>
      <c r="G27" s="27">
        <f t="shared" ref="G27:G31" si="4">E27*F27</f>
        <v>8006582.7210599994</v>
      </c>
      <c r="H27" s="28">
        <v>34377</v>
      </c>
      <c r="I27" s="28">
        <f t="shared" si="1"/>
        <v>11098032.10362</v>
      </c>
      <c r="J27" s="29">
        <f t="shared" si="2"/>
        <v>19104614.824680001</v>
      </c>
      <c r="K27" s="87"/>
      <c r="L27" s="87"/>
      <c r="M27" s="87"/>
      <c r="N27" s="87"/>
      <c r="O27" s="87"/>
      <c r="P27" s="87"/>
      <c r="Q27" s="87"/>
    </row>
    <row r="28" spans="2:17" x14ac:dyDescent="0.2">
      <c r="B28" s="23">
        <f t="shared" si="3"/>
        <v>7.1999999999999957</v>
      </c>
      <c r="C28" s="36" t="s">
        <v>126</v>
      </c>
      <c r="D28" s="25" t="s">
        <v>17</v>
      </c>
      <c r="E28" s="26">
        <v>878.4</v>
      </c>
      <c r="F28" s="27">
        <v>13206</v>
      </c>
      <c r="G28" s="27">
        <f t="shared" si="4"/>
        <v>11600150.4</v>
      </c>
      <c r="H28" s="28">
        <v>8990</v>
      </c>
      <c r="I28" s="28">
        <f t="shared" si="1"/>
        <v>7896816</v>
      </c>
      <c r="J28" s="29">
        <f t="shared" si="2"/>
        <v>19496966.399999999</v>
      </c>
    </row>
    <row r="29" spans="2:17" x14ac:dyDescent="0.2">
      <c r="B29" s="23">
        <f t="shared" si="3"/>
        <v>7.2099999999999955</v>
      </c>
      <c r="C29" s="36" t="s">
        <v>127</v>
      </c>
      <c r="D29" s="25" t="s">
        <v>17</v>
      </c>
      <c r="E29" s="26">
        <v>935.74800000000005</v>
      </c>
      <c r="F29" s="27">
        <v>119655.59999999999</v>
      </c>
      <c r="G29" s="27">
        <f t="shared" si="4"/>
        <v>111967488.3888</v>
      </c>
      <c r="H29" s="28">
        <v>17709.599999999999</v>
      </c>
      <c r="I29" s="28">
        <f t="shared" si="1"/>
        <v>16571722.7808</v>
      </c>
      <c r="J29" s="29">
        <f t="shared" si="2"/>
        <v>128539211.1696</v>
      </c>
    </row>
    <row r="30" spans="2:17" x14ac:dyDescent="0.2">
      <c r="B30" s="23">
        <f t="shared" si="3"/>
        <v>7.2199999999999953</v>
      </c>
      <c r="C30" s="36" t="s">
        <v>41</v>
      </c>
      <c r="D30" s="25" t="s">
        <v>17</v>
      </c>
      <c r="E30" s="26">
        <v>9662.4000000000015</v>
      </c>
      <c r="F30" s="27">
        <v>7441</v>
      </c>
      <c r="G30" s="27">
        <f t="shared" si="4"/>
        <v>71897918.400000006</v>
      </c>
      <c r="H30" s="28">
        <v>45514</v>
      </c>
      <c r="I30" s="28">
        <f t="shared" si="1"/>
        <v>439774473.60000008</v>
      </c>
      <c r="J30" s="29">
        <f t="shared" si="2"/>
        <v>511672392.00000012</v>
      </c>
      <c r="L30" s="62"/>
    </row>
    <row r="31" spans="2:17" ht="13.5" thickBot="1" x14ac:dyDescent="0.25">
      <c r="B31" s="37">
        <f t="shared" si="3"/>
        <v>7.2299999999999951</v>
      </c>
      <c r="C31" s="88" t="s">
        <v>44</v>
      </c>
      <c r="D31" s="38" t="s">
        <v>43</v>
      </c>
      <c r="E31" s="39">
        <v>1</v>
      </c>
      <c r="F31" s="40">
        <v>9000000</v>
      </c>
      <c r="G31" s="40">
        <f t="shared" si="4"/>
        <v>9000000</v>
      </c>
      <c r="H31" s="41"/>
      <c r="I31" s="41">
        <f t="shared" si="1"/>
        <v>0</v>
      </c>
      <c r="J31" s="42">
        <f t="shared" si="2"/>
        <v>9000000</v>
      </c>
    </row>
    <row r="32" spans="2:17" ht="13.5" thickBot="1" x14ac:dyDescent="0.25"/>
    <row r="33" spans="6:10" ht="15.75" x14ac:dyDescent="0.2">
      <c r="F33" s="44"/>
      <c r="G33" s="45"/>
      <c r="H33" s="46" t="s">
        <v>45</v>
      </c>
      <c r="I33" s="47"/>
      <c r="J33" s="48">
        <f>SUM(J9:J31)</f>
        <v>16324858316.04199</v>
      </c>
    </row>
    <row r="34" spans="6:10" x14ac:dyDescent="0.2">
      <c r="F34" s="49" t="s">
        <v>46</v>
      </c>
      <c r="G34" s="50"/>
      <c r="H34" s="51"/>
      <c r="I34" s="52">
        <v>0.22</v>
      </c>
      <c r="J34" s="29">
        <f>J33*I34</f>
        <v>3591468829.5292377</v>
      </c>
    </row>
    <row r="35" spans="6:10" x14ac:dyDescent="0.2">
      <c r="F35" s="49" t="s">
        <v>47</v>
      </c>
      <c r="G35" s="50"/>
      <c r="H35" s="51"/>
      <c r="I35" s="52">
        <v>0.04</v>
      </c>
      <c r="J35" s="29">
        <f>J33*I35</f>
        <v>652994332.64167964</v>
      </c>
    </row>
    <row r="36" spans="6:10" x14ac:dyDescent="0.2">
      <c r="F36" s="49" t="s">
        <v>48</v>
      </c>
      <c r="G36" s="50"/>
      <c r="H36" s="51"/>
      <c r="I36" s="52">
        <v>0.04</v>
      </c>
      <c r="J36" s="29">
        <f>J33*I36</f>
        <v>652994332.64167964</v>
      </c>
    </row>
    <row r="37" spans="6:10" x14ac:dyDescent="0.2">
      <c r="F37" s="49" t="s">
        <v>49</v>
      </c>
      <c r="G37" s="50"/>
      <c r="H37" s="51"/>
      <c r="I37" s="53"/>
      <c r="J37" s="29"/>
    </row>
    <row r="38" spans="6:10" x14ac:dyDescent="0.2">
      <c r="F38" s="49" t="s">
        <v>50</v>
      </c>
      <c r="G38" s="50"/>
      <c r="H38" s="51"/>
      <c r="I38" s="52">
        <v>0.19</v>
      </c>
      <c r="J38" s="29">
        <f>J36*I38</f>
        <v>124068923.20191914</v>
      </c>
    </row>
    <row r="39" spans="6:10" x14ac:dyDescent="0.2">
      <c r="F39" s="54"/>
      <c r="G39" s="50"/>
      <c r="H39" s="51"/>
      <c r="I39" s="55"/>
      <c r="J39" s="29"/>
    </row>
    <row r="40" spans="6:10" ht="16.5" thickBot="1" x14ac:dyDescent="0.25">
      <c r="F40" s="56"/>
      <c r="G40" s="57"/>
      <c r="H40" s="58" t="s">
        <v>51</v>
      </c>
      <c r="I40" s="41"/>
      <c r="J40" s="59">
        <f>SUM(J33:J38)</f>
        <v>21346384734.056503</v>
      </c>
    </row>
  </sheetData>
  <mergeCells count="4">
    <mergeCell ref="F6:G6"/>
    <mergeCell ref="H6:I6"/>
    <mergeCell ref="B7:B8"/>
    <mergeCell ref="C7:C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DB5A2-DA14-4F81-81EC-0585A8F0F831}">
  <sheetPr>
    <tabColor rgb="FF92D050"/>
  </sheetPr>
  <dimension ref="B1:N193"/>
  <sheetViews>
    <sheetView workbookViewId="0"/>
  </sheetViews>
  <sheetFormatPr baseColWidth="10" defaultRowHeight="12.75" x14ac:dyDescent="0.2"/>
  <cols>
    <col min="1" max="1" width="6.25" style="125" customWidth="1"/>
    <col min="2" max="2" width="6.125" style="125" customWidth="1"/>
    <col min="3" max="3" width="57.375" style="126" customWidth="1"/>
    <col min="4" max="4" width="9.625" style="127" customWidth="1"/>
    <col min="5" max="5" width="9.625" style="128" customWidth="1"/>
    <col min="6" max="7" width="11.625" style="123" customWidth="1"/>
    <col min="8" max="10" width="11.625" style="125" customWidth="1"/>
    <col min="11" max="144" width="11" style="125"/>
    <col min="145" max="145" width="7.875" style="125" customWidth="1"/>
    <col min="146" max="146" width="59.375" style="125" customWidth="1"/>
    <col min="147" max="148" width="16" style="125" customWidth="1"/>
    <col min="149" max="175" width="16.875" style="125" customWidth="1"/>
    <col min="176" max="178" width="25.375" style="125" customWidth="1"/>
    <col min="179" max="179" width="21.25" style="125" customWidth="1"/>
    <col min="180" max="180" width="11.75" style="125" customWidth="1"/>
    <col min="181" max="181" width="13.875" style="125" customWidth="1"/>
    <col min="182" max="182" width="19.25" style="125" customWidth="1"/>
    <col min="183" max="183" width="16.625" style="125" customWidth="1"/>
    <col min="184" max="400" width="11" style="125"/>
    <col min="401" max="401" width="7.875" style="125" customWidth="1"/>
    <col min="402" max="402" width="59.375" style="125" customWidth="1"/>
    <col min="403" max="404" width="16" style="125" customWidth="1"/>
    <col min="405" max="431" width="16.875" style="125" customWidth="1"/>
    <col min="432" max="434" width="25.375" style="125" customWidth="1"/>
    <col min="435" max="435" width="21.25" style="125" customWidth="1"/>
    <col min="436" max="436" width="11.75" style="125" customWidth="1"/>
    <col min="437" max="437" width="13.875" style="125" customWidth="1"/>
    <col min="438" max="438" width="19.25" style="125" customWidth="1"/>
    <col min="439" max="439" width="16.625" style="125" customWidth="1"/>
    <col min="440" max="656" width="11" style="125"/>
    <col min="657" max="657" width="7.875" style="125" customWidth="1"/>
    <col min="658" max="658" width="59.375" style="125" customWidth="1"/>
    <col min="659" max="660" width="16" style="125" customWidth="1"/>
    <col min="661" max="687" width="16.875" style="125" customWidth="1"/>
    <col min="688" max="690" width="25.375" style="125" customWidth="1"/>
    <col min="691" max="691" width="21.25" style="125" customWidth="1"/>
    <col min="692" max="692" width="11.75" style="125" customWidth="1"/>
    <col min="693" max="693" width="13.875" style="125" customWidth="1"/>
    <col min="694" max="694" width="19.25" style="125" customWidth="1"/>
    <col min="695" max="695" width="16.625" style="125" customWidth="1"/>
    <col min="696" max="912" width="11" style="125"/>
    <col min="913" max="913" width="7.875" style="125" customWidth="1"/>
    <col min="914" max="914" width="59.375" style="125" customWidth="1"/>
    <col min="915" max="916" width="16" style="125" customWidth="1"/>
    <col min="917" max="943" width="16.875" style="125" customWidth="1"/>
    <col min="944" max="946" width="25.375" style="125" customWidth="1"/>
    <col min="947" max="947" width="21.25" style="125" customWidth="1"/>
    <col min="948" max="948" width="11.75" style="125" customWidth="1"/>
    <col min="949" max="949" width="13.875" style="125" customWidth="1"/>
    <col min="950" max="950" width="19.25" style="125" customWidth="1"/>
    <col min="951" max="951" width="16.625" style="125" customWidth="1"/>
    <col min="952" max="1168" width="11" style="125"/>
    <col min="1169" max="1169" width="7.875" style="125" customWidth="1"/>
    <col min="1170" max="1170" width="59.375" style="125" customWidth="1"/>
    <col min="1171" max="1172" width="16" style="125" customWidth="1"/>
    <col min="1173" max="1199" width="16.875" style="125" customWidth="1"/>
    <col min="1200" max="1202" width="25.375" style="125" customWidth="1"/>
    <col min="1203" max="1203" width="21.25" style="125" customWidth="1"/>
    <col min="1204" max="1204" width="11.75" style="125" customWidth="1"/>
    <col min="1205" max="1205" width="13.875" style="125" customWidth="1"/>
    <col min="1206" max="1206" width="19.25" style="125" customWidth="1"/>
    <col min="1207" max="1207" width="16.625" style="125" customWidth="1"/>
    <col min="1208" max="1424" width="11" style="125"/>
    <col min="1425" max="1425" width="7.875" style="125" customWidth="1"/>
    <col min="1426" max="1426" width="59.375" style="125" customWidth="1"/>
    <col min="1427" max="1428" width="16" style="125" customWidth="1"/>
    <col min="1429" max="1455" width="16.875" style="125" customWidth="1"/>
    <col min="1456" max="1458" width="25.375" style="125" customWidth="1"/>
    <col min="1459" max="1459" width="21.25" style="125" customWidth="1"/>
    <col min="1460" max="1460" width="11.75" style="125" customWidth="1"/>
    <col min="1461" max="1461" width="13.875" style="125" customWidth="1"/>
    <col min="1462" max="1462" width="19.25" style="125" customWidth="1"/>
    <col min="1463" max="1463" width="16.625" style="125" customWidth="1"/>
    <col min="1464" max="1680" width="11" style="125"/>
    <col min="1681" max="1681" width="7.875" style="125" customWidth="1"/>
    <col min="1682" max="1682" width="59.375" style="125" customWidth="1"/>
    <col min="1683" max="1684" width="16" style="125" customWidth="1"/>
    <col min="1685" max="1711" width="16.875" style="125" customWidth="1"/>
    <col min="1712" max="1714" width="25.375" style="125" customWidth="1"/>
    <col min="1715" max="1715" width="21.25" style="125" customWidth="1"/>
    <col min="1716" max="1716" width="11.75" style="125" customWidth="1"/>
    <col min="1717" max="1717" width="13.875" style="125" customWidth="1"/>
    <col min="1718" max="1718" width="19.25" style="125" customWidth="1"/>
    <col min="1719" max="1719" width="16.625" style="125" customWidth="1"/>
    <col min="1720" max="1936" width="11" style="125"/>
    <col min="1937" max="1937" width="7.875" style="125" customWidth="1"/>
    <col min="1938" max="1938" width="59.375" style="125" customWidth="1"/>
    <col min="1939" max="1940" width="16" style="125" customWidth="1"/>
    <col min="1941" max="1967" width="16.875" style="125" customWidth="1"/>
    <col min="1968" max="1970" width="25.375" style="125" customWidth="1"/>
    <col min="1971" max="1971" width="21.25" style="125" customWidth="1"/>
    <col min="1972" max="1972" width="11.75" style="125" customWidth="1"/>
    <col min="1973" max="1973" width="13.875" style="125" customWidth="1"/>
    <col min="1974" max="1974" width="19.25" style="125" customWidth="1"/>
    <col min="1975" max="1975" width="16.625" style="125" customWidth="1"/>
    <col min="1976" max="2192" width="11" style="125"/>
    <col min="2193" max="2193" width="7.875" style="125" customWidth="1"/>
    <col min="2194" max="2194" width="59.375" style="125" customWidth="1"/>
    <col min="2195" max="2196" width="16" style="125" customWidth="1"/>
    <col min="2197" max="2223" width="16.875" style="125" customWidth="1"/>
    <col min="2224" max="2226" width="25.375" style="125" customWidth="1"/>
    <col min="2227" max="2227" width="21.25" style="125" customWidth="1"/>
    <col min="2228" max="2228" width="11.75" style="125" customWidth="1"/>
    <col min="2229" max="2229" width="13.875" style="125" customWidth="1"/>
    <col min="2230" max="2230" width="19.25" style="125" customWidth="1"/>
    <col min="2231" max="2231" width="16.625" style="125" customWidth="1"/>
    <col min="2232" max="2448" width="11" style="125"/>
    <col min="2449" max="2449" width="7.875" style="125" customWidth="1"/>
    <col min="2450" max="2450" width="59.375" style="125" customWidth="1"/>
    <col min="2451" max="2452" width="16" style="125" customWidth="1"/>
    <col min="2453" max="2479" width="16.875" style="125" customWidth="1"/>
    <col min="2480" max="2482" width="25.375" style="125" customWidth="1"/>
    <col min="2483" max="2483" width="21.25" style="125" customWidth="1"/>
    <col min="2484" max="2484" width="11.75" style="125" customWidth="1"/>
    <col min="2485" max="2485" width="13.875" style="125" customWidth="1"/>
    <col min="2486" max="2486" width="19.25" style="125" customWidth="1"/>
    <col min="2487" max="2487" width="16.625" style="125" customWidth="1"/>
    <col min="2488" max="2704" width="11" style="125"/>
    <col min="2705" max="2705" width="7.875" style="125" customWidth="1"/>
    <col min="2706" max="2706" width="59.375" style="125" customWidth="1"/>
    <col min="2707" max="2708" width="16" style="125" customWidth="1"/>
    <col min="2709" max="2735" width="16.875" style="125" customWidth="1"/>
    <col min="2736" max="2738" width="25.375" style="125" customWidth="1"/>
    <col min="2739" max="2739" width="21.25" style="125" customWidth="1"/>
    <col min="2740" max="2740" width="11.75" style="125" customWidth="1"/>
    <col min="2741" max="2741" width="13.875" style="125" customWidth="1"/>
    <col min="2742" max="2742" width="19.25" style="125" customWidth="1"/>
    <col min="2743" max="2743" width="16.625" style="125" customWidth="1"/>
    <col min="2744" max="2960" width="11" style="125"/>
    <col min="2961" max="2961" width="7.875" style="125" customWidth="1"/>
    <col min="2962" max="2962" width="59.375" style="125" customWidth="1"/>
    <col min="2963" max="2964" width="16" style="125" customWidth="1"/>
    <col min="2965" max="2991" width="16.875" style="125" customWidth="1"/>
    <col min="2992" max="2994" width="25.375" style="125" customWidth="1"/>
    <col min="2995" max="2995" width="21.25" style="125" customWidth="1"/>
    <col min="2996" max="2996" width="11.75" style="125" customWidth="1"/>
    <col min="2997" max="2997" width="13.875" style="125" customWidth="1"/>
    <col min="2998" max="2998" width="19.25" style="125" customWidth="1"/>
    <col min="2999" max="2999" width="16.625" style="125" customWidth="1"/>
    <col min="3000" max="3216" width="11" style="125"/>
    <col min="3217" max="3217" width="7.875" style="125" customWidth="1"/>
    <col min="3218" max="3218" width="59.375" style="125" customWidth="1"/>
    <col min="3219" max="3220" width="16" style="125" customWidth="1"/>
    <col min="3221" max="3247" width="16.875" style="125" customWidth="1"/>
    <col min="3248" max="3250" width="25.375" style="125" customWidth="1"/>
    <col min="3251" max="3251" width="21.25" style="125" customWidth="1"/>
    <col min="3252" max="3252" width="11.75" style="125" customWidth="1"/>
    <col min="3253" max="3253" width="13.875" style="125" customWidth="1"/>
    <col min="3254" max="3254" width="19.25" style="125" customWidth="1"/>
    <col min="3255" max="3255" width="16.625" style="125" customWidth="1"/>
    <col min="3256" max="3472" width="11" style="125"/>
    <col min="3473" max="3473" width="7.875" style="125" customWidth="1"/>
    <col min="3474" max="3474" width="59.375" style="125" customWidth="1"/>
    <col min="3475" max="3476" width="16" style="125" customWidth="1"/>
    <col min="3477" max="3503" width="16.875" style="125" customWidth="1"/>
    <col min="3504" max="3506" width="25.375" style="125" customWidth="1"/>
    <col min="3507" max="3507" width="21.25" style="125" customWidth="1"/>
    <col min="3508" max="3508" width="11.75" style="125" customWidth="1"/>
    <col min="3509" max="3509" width="13.875" style="125" customWidth="1"/>
    <col min="3510" max="3510" width="19.25" style="125" customWidth="1"/>
    <col min="3511" max="3511" width="16.625" style="125" customWidth="1"/>
    <col min="3512" max="3728" width="11" style="125"/>
    <col min="3729" max="3729" width="7.875" style="125" customWidth="1"/>
    <col min="3730" max="3730" width="59.375" style="125" customWidth="1"/>
    <col min="3731" max="3732" width="16" style="125" customWidth="1"/>
    <col min="3733" max="3759" width="16.875" style="125" customWidth="1"/>
    <col min="3760" max="3762" width="25.375" style="125" customWidth="1"/>
    <col min="3763" max="3763" width="21.25" style="125" customWidth="1"/>
    <col min="3764" max="3764" width="11.75" style="125" customWidth="1"/>
    <col min="3765" max="3765" width="13.875" style="125" customWidth="1"/>
    <col min="3766" max="3766" width="19.25" style="125" customWidth="1"/>
    <col min="3767" max="3767" width="16.625" style="125" customWidth="1"/>
    <col min="3768" max="3984" width="11" style="125"/>
    <col min="3985" max="3985" width="7.875" style="125" customWidth="1"/>
    <col min="3986" max="3986" width="59.375" style="125" customWidth="1"/>
    <col min="3987" max="3988" width="16" style="125" customWidth="1"/>
    <col min="3989" max="4015" width="16.875" style="125" customWidth="1"/>
    <col min="4016" max="4018" width="25.375" style="125" customWidth="1"/>
    <col min="4019" max="4019" width="21.25" style="125" customWidth="1"/>
    <col min="4020" max="4020" width="11.75" style="125" customWidth="1"/>
    <col min="4021" max="4021" width="13.875" style="125" customWidth="1"/>
    <col min="4022" max="4022" width="19.25" style="125" customWidth="1"/>
    <col min="4023" max="4023" width="16.625" style="125" customWidth="1"/>
    <col min="4024" max="4240" width="11" style="125"/>
    <col min="4241" max="4241" width="7.875" style="125" customWidth="1"/>
    <col min="4242" max="4242" width="59.375" style="125" customWidth="1"/>
    <col min="4243" max="4244" width="16" style="125" customWidth="1"/>
    <col min="4245" max="4271" width="16.875" style="125" customWidth="1"/>
    <col min="4272" max="4274" width="25.375" style="125" customWidth="1"/>
    <col min="4275" max="4275" width="21.25" style="125" customWidth="1"/>
    <col min="4276" max="4276" width="11.75" style="125" customWidth="1"/>
    <col min="4277" max="4277" width="13.875" style="125" customWidth="1"/>
    <col min="4278" max="4278" width="19.25" style="125" customWidth="1"/>
    <col min="4279" max="4279" width="16.625" style="125" customWidth="1"/>
    <col min="4280" max="4496" width="11" style="125"/>
    <col min="4497" max="4497" width="7.875" style="125" customWidth="1"/>
    <col min="4498" max="4498" width="59.375" style="125" customWidth="1"/>
    <col min="4499" max="4500" width="16" style="125" customWidth="1"/>
    <col min="4501" max="4527" width="16.875" style="125" customWidth="1"/>
    <col min="4528" max="4530" width="25.375" style="125" customWidth="1"/>
    <col min="4531" max="4531" width="21.25" style="125" customWidth="1"/>
    <col min="4532" max="4532" width="11.75" style="125" customWidth="1"/>
    <col min="4533" max="4533" width="13.875" style="125" customWidth="1"/>
    <col min="4534" max="4534" width="19.25" style="125" customWidth="1"/>
    <col min="4535" max="4535" width="16.625" style="125" customWidth="1"/>
    <col min="4536" max="4752" width="11" style="125"/>
    <col min="4753" max="4753" width="7.875" style="125" customWidth="1"/>
    <col min="4754" max="4754" width="59.375" style="125" customWidth="1"/>
    <col min="4755" max="4756" width="16" style="125" customWidth="1"/>
    <col min="4757" max="4783" width="16.875" style="125" customWidth="1"/>
    <col min="4784" max="4786" width="25.375" style="125" customWidth="1"/>
    <col min="4787" max="4787" width="21.25" style="125" customWidth="1"/>
    <col min="4788" max="4788" width="11.75" style="125" customWidth="1"/>
    <col min="4789" max="4789" width="13.875" style="125" customWidth="1"/>
    <col min="4790" max="4790" width="19.25" style="125" customWidth="1"/>
    <col min="4791" max="4791" width="16.625" style="125" customWidth="1"/>
    <col min="4792" max="5008" width="11" style="125"/>
    <col min="5009" max="5009" width="7.875" style="125" customWidth="1"/>
    <col min="5010" max="5010" width="59.375" style="125" customWidth="1"/>
    <col min="5011" max="5012" width="16" style="125" customWidth="1"/>
    <col min="5013" max="5039" width="16.875" style="125" customWidth="1"/>
    <col min="5040" max="5042" width="25.375" style="125" customWidth="1"/>
    <col min="5043" max="5043" width="21.25" style="125" customWidth="1"/>
    <col min="5044" max="5044" width="11.75" style="125" customWidth="1"/>
    <col min="5045" max="5045" width="13.875" style="125" customWidth="1"/>
    <col min="5046" max="5046" width="19.25" style="125" customWidth="1"/>
    <col min="5047" max="5047" width="16.625" style="125" customWidth="1"/>
    <col min="5048" max="5264" width="11" style="125"/>
    <col min="5265" max="5265" width="7.875" style="125" customWidth="1"/>
    <col min="5266" max="5266" width="59.375" style="125" customWidth="1"/>
    <col min="5267" max="5268" width="16" style="125" customWidth="1"/>
    <col min="5269" max="5295" width="16.875" style="125" customWidth="1"/>
    <col min="5296" max="5298" width="25.375" style="125" customWidth="1"/>
    <col min="5299" max="5299" width="21.25" style="125" customWidth="1"/>
    <col min="5300" max="5300" width="11.75" style="125" customWidth="1"/>
    <col min="5301" max="5301" width="13.875" style="125" customWidth="1"/>
    <col min="5302" max="5302" width="19.25" style="125" customWidth="1"/>
    <col min="5303" max="5303" width="16.625" style="125" customWidth="1"/>
    <col min="5304" max="5520" width="11" style="125"/>
    <col min="5521" max="5521" width="7.875" style="125" customWidth="1"/>
    <col min="5522" max="5522" width="59.375" style="125" customWidth="1"/>
    <col min="5523" max="5524" width="16" style="125" customWidth="1"/>
    <col min="5525" max="5551" width="16.875" style="125" customWidth="1"/>
    <col min="5552" max="5554" width="25.375" style="125" customWidth="1"/>
    <col min="5555" max="5555" width="21.25" style="125" customWidth="1"/>
    <col min="5556" max="5556" width="11.75" style="125" customWidth="1"/>
    <col min="5557" max="5557" width="13.875" style="125" customWidth="1"/>
    <col min="5558" max="5558" width="19.25" style="125" customWidth="1"/>
    <col min="5559" max="5559" width="16.625" style="125" customWidth="1"/>
    <col min="5560" max="5776" width="11" style="125"/>
    <col min="5777" max="5777" width="7.875" style="125" customWidth="1"/>
    <col min="5778" max="5778" width="59.375" style="125" customWidth="1"/>
    <col min="5779" max="5780" width="16" style="125" customWidth="1"/>
    <col min="5781" max="5807" width="16.875" style="125" customWidth="1"/>
    <col min="5808" max="5810" width="25.375" style="125" customWidth="1"/>
    <col min="5811" max="5811" width="21.25" style="125" customWidth="1"/>
    <col min="5812" max="5812" width="11.75" style="125" customWidth="1"/>
    <col min="5813" max="5813" width="13.875" style="125" customWidth="1"/>
    <col min="5814" max="5814" width="19.25" style="125" customWidth="1"/>
    <col min="5815" max="5815" width="16.625" style="125" customWidth="1"/>
    <col min="5816" max="6032" width="11" style="125"/>
    <col min="6033" max="6033" width="7.875" style="125" customWidth="1"/>
    <col min="6034" max="6034" width="59.375" style="125" customWidth="1"/>
    <col min="6035" max="6036" width="16" style="125" customWidth="1"/>
    <col min="6037" max="6063" width="16.875" style="125" customWidth="1"/>
    <col min="6064" max="6066" width="25.375" style="125" customWidth="1"/>
    <col min="6067" max="6067" width="21.25" style="125" customWidth="1"/>
    <col min="6068" max="6068" width="11.75" style="125" customWidth="1"/>
    <col min="6069" max="6069" width="13.875" style="125" customWidth="1"/>
    <col min="6070" max="6070" width="19.25" style="125" customWidth="1"/>
    <col min="6071" max="6071" width="16.625" style="125" customWidth="1"/>
    <col min="6072" max="6288" width="11" style="125"/>
    <col min="6289" max="6289" width="7.875" style="125" customWidth="1"/>
    <col min="6290" max="6290" width="59.375" style="125" customWidth="1"/>
    <col min="6291" max="6292" width="16" style="125" customWidth="1"/>
    <col min="6293" max="6319" width="16.875" style="125" customWidth="1"/>
    <col min="6320" max="6322" width="25.375" style="125" customWidth="1"/>
    <col min="6323" max="6323" width="21.25" style="125" customWidth="1"/>
    <col min="6324" max="6324" width="11.75" style="125" customWidth="1"/>
    <col min="6325" max="6325" width="13.875" style="125" customWidth="1"/>
    <col min="6326" max="6326" width="19.25" style="125" customWidth="1"/>
    <col min="6327" max="6327" width="16.625" style="125" customWidth="1"/>
    <col min="6328" max="6544" width="11" style="125"/>
    <col min="6545" max="6545" width="7.875" style="125" customWidth="1"/>
    <col min="6546" max="6546" width="59.375" style="125" customWidth="1"/>
    <col min="6547" max="6548" width="16" style="125" customWidth="1"/>
    <col min="6549" max="6575" width="16.875" style="125" customWidth="1"/>
    <col min="6576" max="6578" width="25.375" style="125" customWidth="1"/>
    <col min="6579" max="6579" width="21.25" style="125" customWidth="1"/>
    <col min="6580" max="6580" width="11.75" style="125" customWidth="1"/>
    <col min="6581" max="6581" width="13.875" style="125" customWidth="1"/>
    <col min="6582" max="6582" width="19.25" style="125" customWidth="1"/>
    <col min="6583" max="6583" width="16.625" style="125" customWidth="1"/>
    <col min="6584" max="6800" width="11" style="125"/>
    <col min="6801" max="6801" width="7.875" style="125" customWidth="1"/>
    <col min="6802" max="6802" width="59.375" style="125" customWidth="1"/>
    <col min="6803" max="6804" width="16" style="125" customWidth="1"/>
    <col min="6805" max="6831" width="16.875" style="125" customWidth="1"/>
    <col min="6832" max="6834" width="25.375" style="125" customWidth="1"/>
    <col min="6835" max="6835" width="21.25" style="125" customWidth="1"/>
    <col min="6836" max="6836" width="11.75" style="125" customWidth="1"/>
    <col min="6837" max="6837" width="13.875" style="125" customWidth="1"/>
    <col min="6838" max="6838" width="19.25" style="125" customWidth="1"/>
    <col min="6839" max="6839" width="16.625" style="125" customWidth="1"/>
    <col min="6840" max="7056" width="11" style="125"/>
    <col min="7057" max="7057" width="7.875" style="125" customWidth="1"/>
    <col min="7058" max="7058" width="59.375" style="125" customWidth="1"/>
    <col min="7059" max="7060" width="16" style="125" customWidth="1"/>
    <col min="7061" max="7087" width="16.875" style="125" customWidth="1"/>
    <col min="7088" max="7090" width="25.375" style="125" customWidth="1"/>
    <col min="7091" max="7091" width="21.25" style="125" customWidth="1"/>
    <col min="7092" max="7092" width="11.75" style="125" customWidth="1"/>
    <col min="7093" max="7093" width="13.875" style="125" customWidth="1"/>
    <col min="7094" max="7094" width="19.25" style="125" customWidth="1"/>
    <col min="7095" max="7095" width="16.625" style="125" customWidth="1"/>
    <col min="7096" max="7312" width="11" style="125"/>
    <col min="7313" max="7313" width="7.875" style="125" customWidth="1"/>
    <col min="7314" max="7314" width="59.375" style="125" customWidth="1"/>
    <col min="7315" max="7316" width="16" style="125" customWidth="1"/>
    <col min="7317" max="7343" width="16.875" style="125" customWidth="1"/>
    <col min="7344" max="7346" width="25.375" style="125" customWidth="1"/>
    <col min="7347" max="7347" width="21.25" style="125" customWidth="1"/>
    <col min="7348" max="7348" width="11.75" style="125" customWidth="1"/>
    <col min="7349" max="7349" width="13.875" style="125" customWidth="1"/>
    <col min="7350" max="7350" width="19.25" style="125" customWidth="1"/>
    <col min="7351" max="7351" width="16.625" style="125" customWidth="1"/>
    <col min="7352" max="7568" width="11" style="125"/>
    <col min="7569" max="7569" width="7.875" style="125" customWidth="1"/>
    <col min="7570" max="7570" width="59.375" style="125" customWidth="1"/>
    <col min="7571" max="7572" width="16" style="125" customWidth="1"/>
    <col min="7573" max="7599" width="16.875" style="125" customWidth="1"/>
    <col min="7600" max="7602" width="25.375" style="125" customWidth="1"/>
    <col min="7603" max="7603" width="21.25" style="125" customWidth="1"/>
    <col min="7604" max="7604" width="11.75" style="125" customWidth="1"/>
    <col min="7605" max="7605" width="13.875" style="125" customWidth="1"/>
    <col min="7606" max="7606" width="19.25" style="125" customWidth="1"/>
    <col min="7607" max="7607" width="16.625" style="125" customWidth="1"/>
    <col min="7608" max="7824" width="11" style="125"/>
    <col min="7825" max="7825" width="7.875" style="125" customWidth="1"/>
    <col min="7826" max="7826" width="59.375" style="125" customWidth="1"/>
    <col min="7827" max="7828" width="16" style="125" customWidth="1"/>
    <col min="7829" max="7855" width="16.875" style="125" customWidth="1"/>
    <col min="7856" max="7858" width="25.375" style="125" customWidth="1"/>
    <col min="7859" max="7859" width="21.25" style="125" customWidth="1"/>
    <col min="7860" max="7860" width="11.75" style="125" customWidth="1"/>
    <col min="7861" max="7861" width="13.875" style="125" customWidth="1"/>
    <col min="7862" max="7862" width="19.25" style="125" customWidth="1"/>
    <col min="7863" max="7863" width="16.625" style="125" customWidth="1"/>
    <col min="7864" max="8080" width="11" style="125"/>
    <col min="8081" max="8081" width="7.875" style="125" customWidth="1"/>
    <col min="8082" max="8082" width="59.375" style="125" customWidth="1"/>
    <col min="8083" max="8084" width="16" style="125" customWidth="1"/>
    <col min="8085" max="8111" width="16.875" style="125" customWidth="1"/>
    <col min="8112" max="8114" width="25.375" style="125" customWidth="1"/>
    <col min="8115" max="8115" width="21.25" style="125" customWidth="1"/>
    <col min="8116" max="8116" width="11.75" style="125" customWidth="1"/>
    <col min="8117" max="8117" width="13.875" style="125" customWidth="1"/>
    <col min="8118" max="8118" width="19.25" style="125" customWidth="1"/>
    <col min="8119" max="8119" width="16.625" style="125" customWidth="1"/>
    <col min="8120" max="8336" width="11" style="125"/>
    <col min="8337" max="8337" width="7.875" style="125" customWidth="1"/>
    <col min="8338" max="8338" width="59.375" style="125" customWidth="1"/>
    <col min="8339" max="8340" width="16" style="125" customWidth="1"/>
    <col min="8341" max="8367" width="16.875" style="125" customWidth="1"/>
    <col min="8368" max="8370" width="25.375" style="125" customWidth="1"/>
    <col min="8371" max="8371" width="21.25" style="125" customWidth="1"/>
    <col min="8372" max="8372" width="11.75" style="125" customWidth="1"/>
    <col min="8373" max="8373" width="13.875" style="125" customWidth="1"/>
    <col min="8374" max="8374" width="19.25" style="125" customWidth="1"/>
    <col min="8375" max="8375" width="16.625" style="125" customWidth="1"/>
    <col min="8376" max="8592" width="11" style="125"/>
    <col min="8593" max="8593" width="7.875" style="125" customWidth="1"/>
    <col min="8594" max="8594" width="59.375" style="125" customWidth="1"/>
    <col min="8595" max="8596" width="16" style="125" customWidth="1"/>
    <col min="8597" max="8623" width="16.875" style="125" customWidth="1"/>
    <col min="8624" max="8626" width="25.375" style="125" customWidth="1"/>
    <col min="8627" max="8627" width="21.25" style="125" customWidth="1"/>
    <col min="8628" max="8628" width="11.75" style="125" customWidth="1"/>
    <col min="8629" max="8629" width="13.875" style="125" customWidth="1"/>
    <col min="8630" max="8630" width="19.25" style="125" customWidth="1"/>
    <col min="8631" max="8631" width="16.625" style="125" customWidth="1"/>
    <col min="8632" max="8848" width="11" style="125"/>
    <col min="8849" max="8849" width="7.875" style="125" customWidth="1"/>
    <col min="8850" max="8850" width="59.375" style="125" customWidth="1"/>
    <col min="8851" max="8852" width="16" style="125" customWidth="1"/>
    <col min="8853" max="8879" width="16.875" style="125" customWidth="1"/>
    <col min="8880" max="8882" width="25.375" style="125" customWidth="1"/>
    <col min="8883" max="8883" width="21.25" style="125" customWidth="1"/>
    <col min="8884" max="8884" width="11.75" style="125" customWidth="1"/>
    <col min="8885" max="8885" width="13.875" style="125" customWidth="1"/>
    <col min="8886" max="8886" width="19.25" style="125" customWidth="1"/>
    <col min="8887" max="8887" width="16.625" style="125" customWidth="1"/>
    <col min="8888" max="9104" width="11" style="125"/>
    <col min="9105" max="9105" width="7.875" style="125" customWidth="1"/>
    <col min="9106" max="9106" width="59.375" style="125" customWidth="1"/>
    <col min="9107" max="9108" width="16" style="125" customWidth="1"/>
    <col min="9109" max="9135" width="16.875" style="125" customWidth="1"/>
    <col min="9136" max="9138" width="25.375" style="125" customWidth="1"/>
    <col min="9139" max="9139" width="21.25" style="125" customWidth="1"/>
    <col min="9140" max="9140" width="11.75" style="125" customWidth="1"/>
    <col min="9141" max="9141" width="13.875" style="125" customWidth="1"/>
    <col min="9142" max="9142" width="19.25" style="125" customWidth="1"/>
    <col min="9143" max="9143" width="16.625" style="125" customWidth="1"/>
    <col min="9144" max="9360" width="11" style="125"/>
    <col min="9361" max="9361" width="7.875" style="125" customWidth="1"/>
    <col min="9362" max="9362" width="59.375" style="125" customWidth="1"/>
    <col min="9363" max="9364" width="16" style="125" customWidth="1"/>
    <col min="9365" max="9391" width="16.875" style="125" customWidth="1"/>
    <col min="9392" max="9394" width="25.375" style="125" customWidth="1"/>
    <col min="9395" max="9395" width="21.25" style="125" customWidth="1"/>
    <col min="9396" max="9396" width="11.75" style="125" customWidth="1"/>
    <col min="9397" max="9397" width="13.875" style="125" customWidth="1"/>
    <col min="9398" max="9398" width="19.25" style="125" customWidth="1"/>
    <col min="9399" max="9399" width="16.625" style="125" customWidth="1"/>
    <col min="9400" max="9616" width="11" style="125"/>
    <col min="9617" max="9617" width="7.875" style="125" customWidth="1"/>
    <col min="9618" max="9618" width="59.375" style="125" customWidth="1"/>
    <col min="9619" max="9620" width="16" style="125" customWidth="1"/>
    <col min="9621" max="9647" width="16.875" style="125" customWidth="1"/>
    <col min="9648" max="9650" width="25.375" style="125" customWidth="1"/>
    <col min="9651" max="9651" width="21.25" style="125" customWidth="1"/>
    <col min="9652" max="9652" width="11.75" style="125" customWidth="1"/>
    <col min="9653" max="9653" width="13.875" style="125" customWidth="1"/>
    <col min="9654" max="9654" width="19.25" style="125" customWidth="1"/>
    <col min="9655" max="9655" width="16.625" style="125" customWidth="1"/>
    <col min="9656" max="9872" width="11" style="125"/>
    <col min="9873" max="9873" width="7.875" style="125" customWidth="1"/>
    <col min="9874" max="9874" width="59.375" style="125" customWidth="1"/>
    <col min="9875" max="9876" width="16" style="125" customWidth="1"/>
    <col min="9877" max="9903" width="16.875" style="125" customWidth="1"/>
    <col min="9904" max="9906" width="25.375" style="125" customWidth="1"/>
    <col min="9907" max="9907" width="21.25" style="125" customWidth="1"/>
    <col min="9908" max="9908" width="11.75" style="125" customWidth="1"/>
    <col min="9909" max="9909" width="13.875" style="125" customWidth="1"/>
    <col min="9910" max="9910" width="19.25" style="125" customWidth="1"/>
    <col min="9911" max="9911" width="16.625" style="125" customWidth="1"/>
    <col min="9912" max="10128" width="11" style="125"/>
    <col min="10129" max="10129" width="7.875" style="125" customWidth="1"/>
    <col min="10130" max="10130" width="59.375" style="125" customWidth="1"/>
    <col min="10131" max="10132" width="16" style="125" customWidth="1"/>
    <col min="10133" max="10159" width="16.875" style="125" customWidth="1"/>
    <col min="10160" max="10162" width="25.375" style="125" customWidth="1"/>
    <col min="10163" max="10163" width="21.25" style="125" customWidth="1"/>
    <col min="10164" max="10164" width="11.75" style="125" customWidth="1"/>
    <col min="10165" max="10165" width="13.875" style="125" customWidth="1"/>
    <col min="10166" max="10166" width="19.25" style="125" customWidth="1"/>
    <col min="10167" max="10167" width="16.625" style="125" customWidth="1"/>
    <col min="10168" max="10384" width="11" style="125"/>
    <col min="10385" max="10385" width="7.875" style="125" customWidth="1"/>
    <col min="10386" max="10386" width="59.375" style="125" customWidth="1"/>
    <col min="10387" max="10388" width="16" style="125" customWidth="1"/>
    <col min="10389" max="10415" width="16.875" style="125" customWidth="1"/>
    <col min="10416" max="10418" width="25.375" style="125" customWidth="1"/>
    <col min="10419" max="10419" width="21.25" style="125" customWidth="1"/>
    <col min="10420" max="10420" width="11.75" style="125" customWidth="1"/>
    <col min="10421" max="10421" width="13.875" style="125" customWidth="1"/>
    <col min="10422" max="10422" width="19.25" style="125" customWidth="1"/>
    <col min="10423" max="10423" width="16.625" style="125" customWidth="1"/>
    <col min="10424" max="10640" width="11" style="125"/>
    <col min="10641" max="10641" width="7.875" style="125" customWidth="1"/>
    <col min="10642" max="10642" width="59.375" style="125" customWidth="1"/>
    <col min="10643" max="10644" width="16" style="125" customWidth="1"/>
    <col min="10645" max="10671" width="16.875" style="125" customWidth="1"/>
    <col min="10672" max="10674" width="25.375" style="125" customWidth="1"/>
    <col min="10675" max="10675" width="21.25" style="125" customWidth="1"/>
    <col min="10676" max="10676" width="11.75" style="125" customWidth="1"/>
    <col min="10677" max="10677" width="13.875" style="125" customWidth="1"/>
    <col min="10678" max="10678" width="19.25" style="125" customWidth="1"/>
    <col min="10679" max="10679" width="16.625" style="125" customWidth="1"/>
    <col min="10680" max="10896" width="11" style="125"/>
    <col min="10897" max="10897" width="7.875" style="125" customWidth="1"/>
    <col min="10898" max="10898" width="59.375" style="125" customWidth="1"/>
    <col min="10899" max="10900" width="16" style="125" customWidth="1"/>
    <col min="10901" max="10927" width="16.875" style="125" customWidth="1"/>
    <col min="10928" max="10930" width="25.375" style="125" customWidth="1"/>
    <col min="10931" max="10931" width="21.25" style="125" customWidth="1"/>
    <col min="10932" max="10932" width="11.75" style="125" customWidth="1"/>
    <col min="10933" max="10933" width="13.875" style="125" customWidth="1"/>
    <col min="10934" max="10934" width="19.25" style="125" customWidth="1"/>
    <col min="10935" max="10935" width="16.625" style="125" customWidth="1"/>
    <col min="10936" max="11152" width="11" style="125"/>
    <col min="11153" max="11153" width="7.875" style="125" customWidth="1"/>
    <col min="11154" max="11154" width="59.375" style="125" customWidth="1"/>
    <col min="11155" max="11156" width="16" style="125" customWidth="1"/>
    <col min="11157" max="11183" width="16.875" style="125" customWidth="1"/>
    <col min="11184" max="11186" width="25.375" style="125" customWidth="1"/>
    <col min="11187" max="11187" width="21.25" style="125" customWidth="1"/>
    <col min="11188" max="11188" width="11.75" style="125" customWidth="1"/>
    <col min="11189" max="11189" width="13.875" style="125" customWidth="1"/>
    <col min="11190" max="11190" width="19.25" style="125" customWidth="1"/>
    <col min="11191" max="11191" width="16.625" style="125" customWidth="1"/>
    <col min="11192" max="11408" width="11" style="125"/>
    <col min="11409" max="11409" width="7.875" style="125" customWidth="1"/>
    <col min="11410" max="11410" width="59.375" style="125" customWidth="1"/>
    <col min="11411" max="11412" width="16" style="125" customWidth="1"/>
    <col min="11413" max="11439" width="16.875" style="125" customWidth="1"/>
    <col min="11440" max="11442" width="25.375" style="125" customWidth="1"/>
    <col min="11443" max="11443" width="21.25" style="125" customWidth="1"/>
    <col min="11444" max="11444" width="11.75" style="125" customWidth="1"/>
    <col min="11445" max="11445" width="13.875" style="125" customWidth="1"/>
    <col min="11446" max="11446" width="19.25" style="125" customWidth="1"/>
    <col min="11447" max="11447" width="16.625" style="125" customWidth="1"/>
    <col min="11448" max="11664" width="11" style="125"/>
    <col min="11665" max="11665" width="7.875" style="125" customWidth="1"/>
    <col min="11666" max="11666" width="59.375" style="125" customWidth="1"/>
    <col min="11667" max="11668" width="16" style="125" customWidth="1"/>
    <col min="11669" max="11695" width="16.875" style="125" customWidth="1"/>
    <col min="11696" max="11698" width="25.375" style="125" customWidth="1"/>
    <col min="11699" max="11699" width="21.25" style="125" customWidth="1"/>
    <col min="11700" max="11700" width="11.75" style="125" customWidth="1"/>
    <col min="11701" max="11701" width="13.875" style="125" customWidth="1"/>
    <col min="11702" max="11702" width="19.25" style="125" customWidth="1"/>
    <col min="11703" max="11703" width="16.625" style="125" customWidth="1"/>
    <col min="11704" max="11920" width="11" style="125"/>
    <col min="11921" max="11921" width="7.875" style="125" customWidth="1"/>
    <col min="11922" max="11922" width="59.375" style="125" customWidth="1"/>
    <col min="11923" max="11924" width="16" style="125" customWidth="1"/>
    <col min="11925" max="11951" width="16.875" style="125" customWidth="1"/>
    <col min="11952" max="11954" width="25.375" style="125" customWidth="1"/>
    <col min="11955" max="11955" width="21.25" style="125" customWidth="1"/>
    <col min="11956" max="11956" width="11.75" style="125" customWidth="1"/>
    <col min="11957" max="11957" width="13.875" style="125" customWidth="1"/>
    <col min="11958" max="11958" width="19.25" style="125" customWidth="1"/>
    <col min="11959" max="11959" width="16.625" style="125" customWidth="1"/>
    <col min="11960" max="12176" width="11" style="125"/>
    <col min="12177" max="12177" width="7.875" style="125" customWidth="1"/>
    <col min="12178" max="12178" width="59.375" style="125" customWidth="1"/>
    <col min="12179" max="12180" width="16" style="125" customWidth="1"/>
    <col min="12181" max="12207" width="16.875" style="125" customWidth="1"/>
    <col min="12208" max="12210" width="25.375" style="125" customWidth="1"/>
    <col min="12211" max="12211" width="21.25" style="125" customWidth="1"/>
    <col min="12212" max="12212" width="11.75" style="125" customWidth="1"/>
    <col min="12213" max="12213" width="13.875" style="125" customWidth="1"/>
    <col min="12214" max="12214" width="19.25" style="125" customWidth="1"/>
    <col min="12215" max="12215" width="16.625" style="125" customWidth="1"/>
    <col min="12216" max="12432" width="11" style="125"/>
    <col min="12433" max="12433" width="7.875" style="125" customWidth="1"/>
    <col min="12434" max="12434" width="59.375" style="125" customWidth="1"/>
    <col min="12435" max="12436" width="16" style="125" customWidth="1"/>
    <col min="12437" max="12463" width="16.875" style="125" customWidth="1"/>
    <col min="12464" max="12466" width="25.375" style="125" customWidth="1"/>
    <col min="12467" max="12467" width="21.25" style="125" customWidth="1"/>
    <col min="12468" max="12468" width="11.75" style="125" customWidth="1"/>
    <col min="12469" max="12469" width="13.875" style="125" customWidth="1"/>
    <col min="12470" max="12470" width="19.25" style="125" customWidth="1"/>
    <col min="12471" max="12471" width="16.625" style="125" customWidth="1"/>
    <col min="12472" max="12688" width="11" style="125"/>
    <col min="12689" max="12689" width="7.875" style="125" customWidth="1"/>
    <col min="12690" max="12690" width="59.375" style="125" customWidth="1"/>
    <col min="12691" max="12692" width="16" style="125" customWidth="1"/>
    <col min="12693" max="12719" width="16.875" style="125" customWidth="1"/>
    <col min="12720" max="12722" width="25.375" style="125" customWidth="1"/>
    <col min="12723" max="12723" width="21.25" style="125" customWidth="1"/>
    <col min="12724" max="12724" width="11.75" style="125" customWidth="1"/>
    <col min="12725" max="12725" width="13.875" style="125" customWidth="1"/>
    <col min="12726" max="12726" width="19.25" style="125" customWidth="1"/>
    <col min="12727" max="12727" width="16.625" style="125" customWidth="1"/>
    <col min="12728" max="12944" width="11" style="125"/>
    <col min="12945" max="12945" width="7.875" style="125" customWidth="1"/>
    <col min="12946" max="12946" width="59.375" style="125" customWidth="1"/>
    <col min="12947" max="12948" width="16" style="125" customWidth="1"/>
    <col min="12949" max="12975" width="16.875" style="125" customWidth="1"/>
    <col min="12976" max="12978" width="25.375" style="125" customWidth="1"/>
    <col min="12979" max="12979" width="21.25" style="125" customWidth="1"/>
    <col min="12980" max="12980" width="11.75" style="125" customWidth="1"/>
    <col min="12981" max="12981" width="13.875" style="125" customWidth="1"/>
    <col min="12982" max="12982" width="19.25" style="125" customWidth="1"/>
    <col min="12983" max="12983" width="16.625" style="125" customWidth="1"/>
    <col min="12984" max="13200" width="11" style="125"/>
    <col min="13201" max="13201" width="7.875" style="125" customWidth="1"/>
    <col min="13202" max="13202" width="59.375" style="125" customWidth="1"/>
    <col min="13203" max="13204" width="16" style="125" customWidth="1"/>
    <col min="13205" max="13231" width="16.875" style="125" customWidth="1"/>
    <col min="13232" max="13234" width="25.375" style="125" customWidth="1"/>
    <col min="13235" max="13235" width="21.25" style="125" customWidth="1"/>
    <col min="13236" max="13236" width="11.75" style="125" customWidth="1"/>
    <col min="13237" max="13237" width="13.875" style="125" customWidth="1"/>
    <col min="13238" max="13238" width="19.25" style="125" customWidth="1"/>
    <col min="13239" max="13239" width="16.625" style="125" customWidth="1"/>
    <col min="13240" max="13456" width="11" style="125"/>
    <col min="13457" max="13457" width="7.875" style="125" customWidth="1"/>
    <col min="13458" max="13458" width="59.375" style="125" customWidth="1"/>
    <col min="13459" max="13460" width="16" style="125" customWidth="1"/>
    <col min="13461" max="13487" width="16.875" style="125" customWidth="1"/>
    <col min="13488" max="13490" width="25.375" style="125" customWidth="1"/>
    <col min="13491" max="13491" width="21.25" style="125" customWidth="1"/>
    <col min="13492" max="13492" width="11.75" style="125" customWidth="1"/>
    <col min="13493" max="13493" width="13.875" style="125" customWidth="1"/>
    <col min="13494" max="13494" width="19.25" style="125" customWidth="1"/>
    <col min="13495" max="13495" width="16.625" style="125" customWidth="1"/>
    <col min="13496" max="13712" width="11" style="125"/>
    <col min="13713" max="13713" width="7.875" style="125" customWidth="1"/>
    <col min="13714" max="13714" width="59.375" style="125" customWidth="1"/>
    <col min="13715" max="13716" width="16" style="125" customWidth="1"/>
    <col min="13717" max="13743" width="16.875" style="125" customWidth="1"/>
    <col min="13744" max="13746" width="25.375" style="125" customWidth="1"/>
    <col min="13747" max="13747" width="21.25" style="125" customWidth="1"/>
    <col min="13748" max="13748" width="11.75" style="125" customWidth="1"/>
    <col min="13749" max="13749" width="13.875" style="125" customWidth="1"/>
    <col min="13750" max="13750" width="19.25" style="125" customWidth="1"/>
    <col min="13751" max="13751" width="16.625" style="125" customWidth="1"/>
    <col min="13752" max="13968" width="11" style="125"/>
    <col min="13969" max="13969" width="7.875" style="125" customWidth="1"/>
    <col min="13970" max="13970" width="59.375" style="125" customWidth="1"/>
    <col min="13971" max="13972" width="16" style="125" customWidth="1"/>
    <col min="13973" max="13999" width="16.875" style="125" customWidth="1"/>
    <col min="14000" max="14002" width="25.375" style="125" customWidth="1"/>
    <col min="14003" max="14003" width="21.25" style="125" customWidth="1"/>
    <col min="14004" max="14004" width="11.75" style="125" customWidth="1"/>
    <col min="14005" max="14005" width="13.875" style="125" customWidth="1"/>
    <col min="14006" max="14006" width="19.25" style="125" customWidth="1"/>
    <col min="14007" max="14007" width="16.625" style="125" customWidth="1"/>
    <col min="14008" max="14224" width="11" style="125"/>
    <col min="14225" max="14225" width="7.875" style="125" customWidth="1"/>
    <col min="14226" max="14226" width="59.375" style="125" customWidth="1"/>
    <col min="14227" max="14228" width="16" style="125" customWidth="1"/>
    <col min="14229" max="14255" width="16.875" style="125" customWidth="1"/>
    <col min="14256" max="14258" width="25.375" style="125" customWidth="1"/>
    <col min="14259" max="14259" width="21.25" style="125" customWidth="1"/>
    <col min="14260" max="14260" width="11.75" style="125" customWidth="1"/>
    <col min="14261" max="14261" width="13.875" style="125" customWidth="1"/>
    <col min="14262" max="14262" width="19.25" style="125" customWidth="1"/>
    <col min="14263" max="14263" width="16.625" style="125" customWidth="1"/>
    <col min="14264" max="14480" width="11" style="125"/>
    <col min="14481" max="14481" width="7.875" style="125" customWidth="1"/>
    <col min="14482" max="14482" width="59.375" style="125" customWidth="1"/>
    <col min="14483" max="14484" width="16" style="125" customWidth="1"/>
    <col min="14485" max="14511" width="16.875" style="125" customWidth="1"/>
    <col min="14512" max="14514" width="25.375" style="125" customWidth="1"/>
    <col min="14515" max="14515" width="21.25" style="125" customWidth="1"/>
    <col min="14516" max="14516" width="11.75" style="125" customWidth="1"/>
    <col min="14517" max="14517" width="13.875" style="125" customWidth="1"/>
    <col min="14518" max="14518" width="19.25" style="125" customWidth="1"/>
    <col min="14519" max="14519" width="16.625" style="125" customWidth="1"/>
    <col min="14520" max="14736" width="11" style="125"/>
    <col min="14737" max="14737" width="7.875" style="125" customWidth="1"/>
    <col min="14738" max="14738" width="59.375" style="125" customWidth="1"/>
    <col min="14739" max="14740" width="16" style="125" customWidth="1"/>
    <col min="14741" max="14767" width="16.875" style="125" customWidth="1"/>
    <col min="14768" max="14770" width="25.375" style="125" customWidth="1"/>
    <col min="14771" max="14771" width="21.25" style="125" customWidth="1"/>
    <col min="14772" max="14772" width="11.75" style="125" customWidth="1"/>
    <col min="14773" max="14773" width="13.875" style="125" customWidth="1"/>
    <col min="14774" max="14774" width="19.25" style="125" customWidth="1"/>
    <col min="14775" max="14775" width="16.625" style="125" customWidth="1"/>
    <col min="14776" max="14992" width="11" style="125"/>
    <col min="14993" max="14993" width="7.875" style="125" customWidth="1"/>
    <col min="14994" max="14994" width="59.375" style="125" customWidth="1"/>
    <col min="14995" max="14996" width="16" style="125" customWidth="1"/>
    <col min="14997" max="15023" width="16.875" style="125" customWidth="1"/>
    <col min="15024" max="15026" width="25.375" style="125" customWidth="1"/>
    <col min="15027" max="15027" width="21.25" style="125" customWidth="1"/>
    <col min="15028" max="15028" width="11.75" style="125" customWidth="1"/>
    <col min="15029" max="15029" width="13.875" style="125" customWidth="1"/>
    <col min="15030" max="15030" width="19.25" style="125" customWidth="1"/>
    <col min="15031" max="15031" width="16.625" style="125" customWidth="1"/>
    <col min="15032" max="15248" width="11" style="125"/>
    <col min="15249" max="15249" width="7.875" style="125" customWidth="1"/>
    <col min="15250" max="15250" width="59.375" style="125" customWidth="1"/>
    <col min="15251" max="15252" width="16" style="125" customWidth="1"/>
    <col min="15253" max="15279" width="16.875" style="125" customWidth="1"/>
    <col min="15280" max="15282" width="25.375" style="125" customWidth="1"/>
    <col min="15283" max="15283" width="21.25" style="125" customWidth="1"/>
    <col min="15284" max="15284" width="11.75" style="125" customWidth="1"/>
    <col min="15285" max="15285" width="13.875" style="125" customWidth="1"/>
    <col min="15286" max="15286" width="19.25" style="125" customWidth="1"/>
    <col min="15287" max="15287" width="16.625" style="125" customWidth="1"/>
    <col min="15288" max="15504" width="11" style="125"/>
    <col min="15505" max="15505" width="7.875" style="125" customWidth="1"/>
    <col min="15506" max="15506" width="59.375" style="125" customWidth="1"/>
    <col min="15507" max="15508" width="16" style="125" customWidth="1"/>
    <col min="15509" max="15535" width="16.875" style="125" customWidth="1"/>
    <col min="15536" max="15538" width="25.375" style="125" customWidth="1"/>
    <col min="15539" max="15539" width="21.25" style="125" customWidth="1"/>
    <col min="15540" max="15540" width="11.75" style="125" customWidth="1"/>
    <col min="15541" max="15541" width="13.875" style="125" customWidth="1"/>
    <col min="15542" max="15542" width="19.25" style="125" customWidth="1"/>
    <col min="15543" max="15543" width="16.625" style="125" customWidth="1"/>
    <col min="15544" max="15760" width="11" style="125"/>
    <col min="15761" max="15761" width="7.875" style="125" customWidth="1"/>
    <col min="15762" max="15762" width="59.375" style="125" customWidth="1"/>
    <col min="15763" max="15764" width="16" style="125" customWidth="1"/>
    <col min="15765" max="15791" width="16.875" style="125" customWidth="1"/>
    <col min="15792" max="15794" width="25.375" style="125" customWidth="1"/>
    <col min="15795" max="15795" width="21.25" style="125" customWidth="1"/>
    <col min="15796" max="15796" width="11.75" style="125" customWidth="1"/>
    <col min="15797" max="15797" width="13.875" style="125" customWidth="1"/>
    <col min="15798" max="15798" width="19.25" style="125" customWidth="1"/>
    <col min="15799" max="15799" width="16.625" style="125" customWidth="1"/>
    <col min="15800" max="16016" width="11" style="125"/>
    <col min="16017" max="16017" width="7.875" style="125" customWidth="1"/>
    <col min="16018" max="16018" width="59.375" style="125" customWidth="1"/>
    <col min="16019" max="16020" width="16" style="125" customWidth="1"/>
    <col min="16021" max="16047" width="16.875" style="125" customWidth="1"/>
    <col min="16048" max="16050" width="25.375" style="125" customWidth="1"/>
    <col min="16051" max="16051" width="21.25" style="125" customWidth="1"/>
    <col min="16052" max="16052" width="11.75" style="125" customWidth="1"/>
    <col min="16053" max="16053" width="13.875" style="125" customWidth="1"/>
    <col min="16054" max="16054" width="19.25" style="125" customWidth="1"/>
    <col min="16055" max="16055" width="16.625" style="125" customWidth="1"/>
    <col min="16056" max="16290" width="11" style="125"/>
    <col min="16291" max="16384" width="10" style="125" customWidth="1"/>
  </cols>
  <sheetData>
    <row r="1" spans="2:14" s="2" customFormat="1" ht="15" x14ac:dyDescent="0.2">
      <c r="B1" s="8"/>
      <c r="E1" s="4"/>
      <c r="L1" s="4"/>
      <c r="M1" s="5"/>
      <c r="N1" s="5"/>
    </row>
    <row r="2" spans="2:14" s="2" customFormat="1" ht="15.75" x14ac:dyDescent="0.25">
      <c r="B2" s="1" t="s">
        <v>0</v>
      </c>
      <c r="D2" s="3"/>
      <c r="E2" s="89"/>
      <c r="F2" s="90"/>
      <c r="G2" s="90"/>
      <c r="L2" s="4"/>
      <c r="M2" s="5"/>
      <c r="N2" s="5"/>
    </row>
    <row r="3" spans="2:14" s="2" customFormat="1" ht="15.75" x14ac:dyDescent="0.25">
      <c r="B3" s="1" t="s">
        <v>1</v>
      </c>
      <c r="C3" s="5"/>
      <c r="D3" s="6" t="s">
        <v>2</v>
      </c>
      <c r="E3" s="4"/>
      <c r="F3" s="5"/>
      <c r="G3" s="5"/>
      <c r="H3" s="90"/>
      <c r="L3" s="4"/>
      <c r="M3" s="5"/>
      <c r="N3" s="5"/>
    </row>
    <row r="4" spans="2:14" s="2" customFormat="1" ht="15.75" x14ac:dyDescent="0.25">
      <c r="B4" s="1" t="s">
        <v>393</v>
      </c>
      <c r="D4" s="3"/>
      <c r="E4" s="89"/>
      <c r="F4" s="90"/>
      <c r="G4" s="90"/>
      <c r="L4" s="4"/>
      <c r="M4" s="5"/>
      <c r="N4" s="5"/>
    </row>
    <row r="5" spans="2:14" s="2" customFormat="1" ht="15.75" thickBot="1" x14ac:dyDescent="0.25">
      <c r="B5" s="8"/>
      <c r="E5" s="4"/>
      <c r="L5" s="4"/>
      <c r="M5" s="5"/>
      <c r="N5" s="5"/>
    </row>
    <row r="6" spans="2:14" s="19" customFormat="1" ht="54.95" customHeight="1" x14ac:dyDescent="0.2">
      <c r="B6" s="91" t="s">
        <v>3</v>
      </c>
      <c r="C6" s="92" t="s">
        <v>4</v>
      </c>
      <c r="D6" s="92" t="s">
        <v>5</v>
      </c>
      <c r="E6" s="92" t="s">
        <v>6</v>
      </c>
      <c r="F6" s="406" t="s">
        <v>7</v>
      </c>
      <c r="G6" s="406"/>
      <c r="H6" s="406" t="s">
        <v>8</v>
      </c>
      <c r="I6" s="406"/>
      <c r="J6" s="93" t="s">
        <v>9</v>
      </c>
    </row>
    <row r="7" spans="2:14" s="19" customFormat="1" ht="27.75" customHeight="1" x14ac:dyDescent="0.2">
      <c r="B7" s="402">
        <v>8</v>
      </c>
      <c r="C7" s="404" t="s">
        <v>128</v>
      </c>
      <c r="D7" s="15"/>
      <c r="E7" s="16"/>
      <c r="F7" s="17" t="s">
        <v>11</v>
      </c>
      <c r="G7" s="17" t="s">
        <v>12</v>
      </c>
      <c r="H7" s="17" t="s">
        <v>11</v>
      </c>
      <c r="I7" s="17" t="s">
        <v>13</v>
      </c>
      <c r="J7" s="18" t="s">
        <v>14</v>
      </c>
    </row>
    <row r="8" spans="2:14" s="19" customFormat="1" ht="27.75" customHeight="1" x14ac:dyDescent="0.2">
      <c r="B8" s="403"/>
      <c r="C8" s="405"/>
      <c r="D8" s="20"/>
      <c r="E8" s="173"/>
      <c r="F8" s="21" t="s">
        <v>15</v>
      </c>
      <c r="G8" s="21" t="s">
        <v>15</v>
      </c>
      <c r="H8" s="21" t="s">
        <v>15</v>
      </c>
      <c r="I8" s="21" t="s">
        <v>15</v>
      </c>
      <c r="J8" s="22" t="s">
        <v>15</v>
      </c>
    </row>
    <row r="9" spans="2:14" s="30" customFormat="1" x14ac:dyDescent="0.2">
      <c r="B9" s="94"/>
      <c r="C9" s="95" t="s">
        <v>394</v>
      </c>
      <c r="D9" s="96"/>
      <c r="E9" s="97">
        <v>2</v>
      </c>
      <c r="F9" s="98"/>
      <c r="G9" s="98"/>
      <c r="H9" s="99"/>
      <c r="I9" s="99"/>
      <c r="J9" s="100"/>
    </row>
    <row r="10" spans="2:14" s="30" customFormat="1" x14ac:dyDescent="0.2">
      <c r="B10" s="94"/>
      <c r="C10" s="95" t="s">
        <v>129</v>
      </c>
      <c r="D10" s="96"/>
      <c r="E10" s="97">
        <f>E9*7</f>
        <v>14</v>
      </c>
      <c r="F10" s="98"/>
      <c r="G10" s="98"/>
      <c r="H10" s="99"/>
      <c r="I10" s="99"/>
      <c r="J10" s="100"/>
    </row>
    <row r="11" spans="2:14" s="30" customFormat="1" x14ac:dyDescent="0.2">
      <c r="B11" s="94"/>
      <c r="C11" s="95" t="s">
        <v>130</v>
      </c>
      <c r="D11" s="96"/>
      <c r="E11" s="97">
        <v>2</v>
      </c>
      <c r="F11" s="98"/>
      <c r="G11" s="98"/>
      <c r="H11" s="99"/>
      <c r="I11" s="99"/>
      <c r="J11" s="100"/>
    </row>
    <row r="12" spans="2:14" s="30" customFormat="1" x14ac:dyDescent="0.2">
      <c r="B12" s="94"/>
      <c r="C12" s="95" t="s">
        <v>395</v>
      </c>
      <c r="D12" s="96"/>
      <c r="E12" s="97">
        <f>E9</f>
        <v>2</v>
      </c>
      <c r="F12" s="98"/>
      <c r="G12" s="98"/>
      <c r="H12" s="99"/>
      <c r="I12" s="99"/>
      <c r="J12" s="100"/>
    </row>
    <row r="13" spans="2:14" s="108" customFormat="1" x14ac:dyDescent="0.2">
      <c r="B13" s="101"/>
      <c r="C13" s="102" t="s">
        <v>131</v>
      </c>
      <c r="D13" s="103"/>
      <c r="E13" s="97"/>
      <c r="F13" s="104"/>
      <c r="G13" s="105"/>
      <c r="H13" s="106"/>
      <c r="I13" s="106"/>
      <c r="J13" s="107"/>
    </row>
    <row r="14" spans="2:14" s="108" customFormat="1" x14ac:dyDescent="0.2">
      <c r="B14" s="109">
        <f>B7+0.01</f>
        <v>8.01</v>
      </c>
      <c r="C14" s="102" t="s">
        <v>132</v>
      </c>
      <c r="D14" s="103"/>
      <c r="E14" s="97"/>
      <c r="F14" s="104"/>
      <c r="G14" s="105"/>
      <c r="H14" s="106"/>
      <c r="I14" s="106"/>
      <c r="J14" s="107"/>
    </row>
    <row r="15" spans="2:14" s="108" customFormat="1" x14ac:dyDescent="0.2">
      <c r="B15" s="109">
        <f>B14+0.01</f>
        <v>8.02</v>
      </c>
      <c r="C15" s="35" t="s">
        <v>133</v>
      </c>
      <c r="D15" s="103" t="s">
        <v>17</v>
      </c>
      <c r="E15" s="115">
        <v>16</v>
      </c>
      <c r="F15" s="110">
        <v>20998146</v>
      </c>
      <c r="G15" s="27">
        <f>E15*F15</f>
        <v>335970336</v>
      </c>
      <c r="H15" s="111"/>
      <c r="I15" s="111">
        <f>E15*H15</f>
        <v>0</v>
      </c>
      <c r="J15" s="112">
        <f>G15+I15</f>
        <v>335970336</v>
      </c>
    </row>
    <row r="16" spans="2:14" s="108" customFormat="1" x14ac:dyDescent="0.2">
      <c r="B16" s="109">
        <f t="shared" ref="B16:B79" si="0">B15+0.01</f>
        <v>8.0299999999999994</v>
      </c>
      <c r="C16" s="113" t="s">
        <v>134</v>
      </c>
      <c r="D16" s="103" t="s">
        <v>17</v>
      </c>
      <c r="E16" s="115">
        <v>16</v>
      </c>
      <c r="F16" s="114">
        <v>1528568</v>
      </c>
      <c r="G16" s="27">
        <f t="shared" ref="G16:G17" si="1">E16*F16</f>
        <v>24457088</v>
      </c>
      <c r="H16" s="111"/>
      <c r="I16" s="111">
        <f t="shared" ref="I16:I17" si="2">E16*H16</f>
        <v>0</v>
      </c>
      <c r="J16" s="112">
        <f t="shared" ref="J16:J17" si="3">G16+I16</f>
        <v>24457088</v>
      </c>
    </row>
    <row r="17" spans="2:10" s="108" customFormat="1" x14ac:dyDescent="0.2">
      <c r="B17" s="109">
        <f t="shared" si="0"/>
        <v>8.0399999999999991</v>
      </c>
      <c r="C17" s="35" t="s">
        <v>135</v>
      </c>
      <c r="D17" s="103" t="s">
        <v>17</v>
      </c>
      <c r="E17" s="115">
        <v>16</v>
      </c>
      <c r="F17" s="110">
        <v>955090</v>
      </c>
      <c r="G17" s="27">
        <f t="shared" si="1"/>
        <v>15281440</v>
      </c>
      <c r="H17" s="111"/>
      <c r="I17" s="111">
        <f t="shared" si="2"/>
        <v>0</v>
      </c>
      <c r="J17" s="112">
        <f t="shared" si="3"/>
        <v>15281440</v>
      </c>
    </row>
    <row r="18" spans="2:10" s="108" customFormat="1" x14ac:dyDescent="0.2">
      <c r="B18" s="109">
        <f t="shared" si="0"/>
        <v>8.0499999999999989</v>
      </c>
      <c r="C18" s="102" t="s">
        <v>136</v>
      </c>
      <c r="D18" s="103"/>
      <c r="E18" s="115"/>
      <c r="F18" s="110"/>
      <c r="G18" s="27"/>
      <c r="H18" s="111"/>
      <c r="I18" s="111"/>
      <c r="J18" s="112"/>
    </row>
    <row r="19" spans="2:10" s="108" customFormat="1" x14ac:dyDescent="0.2">
      <c r="B19" s="109">
        <f t="shared" si="0"/>
        <v>8.0599999999999987</v>
      </c>
      <c r="C19" s="35" t="s">
        <v>137</v>
      </c>
      <c r="D19" s="103" t="s">
        <v>17</v>
      </c>
      <c r="E19" s="115">
        <v>16</v>
      </c>
      <c r="F19" s="27">
        <v>2493846</v>
      </c>
      <c r="G19" s="27">
        <f t="shared" ref="G19:G82" si="4">E19*F19</f>
        <v>39901536</v>
      </c>
      <c r="H19" s="111"/>
      <c r="I19" s="111">
        <f t="shared" ref="I19:I50" si="5">E19*H19</f>
        <v>0</v>
      </c>
      <c r="J19" s="112">
        <f t="shared" ref="J19:J50" si="6">G19+I19</f>
        <v>39901536</v>
      </c>
    </row>
    <row r="20" spans="2:10" s="108" customFormat="1" x14ac:dyDescent="0.2">
      <c r="B20" s="109">
        <f t="shared" si="0"/>
        <v>8.0699999999999985</v>
      </c>
      <c r="C20" s="35" t="s">
        <v>138</v>
      </c>
      <c r="D20" s="103" t="s">
        <v>17</v>
      </c>
      <c r="E20" s="115">
        <v>16</v>
      </c>
      <c r="F20" s="27">
        <v>1412684</v>
      </c>
      <c r="G20" s="27">
        <f t="shared" si="4"/>
        <v>22602944</v>
      </c>
      <c r="H20" s="111"/>
      <c r="I20" s="111">
        <f t="shared" si="5"/>
        <v>0</v>
      </c>
      <c r="J20" s="112">
        <f t="shared" si="6"/>
        <v>22602944</v>
      </c>
    </row>
    <row r="21" spans="2:10" s="108" customFormat="1" ht="25.5" x14ac:dyDescent="0.2">
      <c r="B21" s="109">
        <f t="shared" si="0"/>
        <v>8.0799999999999983</v>
      </c>
      <c r="C21" s="35" t="s">
        <v>139</v>
      </c>
      <c r="D21" s="103" t="s">
        <v>17</v>
      </c>
      <c r="E21" s="115">
        <v>14</v>
      </c>
      <c r="F21" s="27">
        <v>811826</v>
      </c>
      <c r="G21" s="27">
        <f t="shared" si="4"/>
        <v>11365564</v>
      </c>
      <c r="H21" s="111"/>
      <c r="I21" s="111">
        <f t="shared" si="5"/>
        <v>0</v>
      </c>
      <c r="J21" s="112">
        <f t="shared" si="6"/>
        <v>11365564</v>
      </c>
    </row>
    <row r="22" spans="2:10" s="108" customFormat="1" x14ac:dyDescent="0.2">
      <c r="B22" s="109">
        <f t="shared" si="0"/>
        <v>8.0899999999999981</v>
      </c>
      <c r="C22" s="35" t="s">
        <v>140</v>
      </c>
      <c r="D22" s="103" t="s">
        <v>17</v>
      </c>
      <c r="E22" s="115">
        <v>16</v>
      </c>
      <c r="F22" s="27">
        <v>2202013</v>
      </c>
      <c r="G22" s="27">
        <f t="shared" si="4"/>
        <v>35232208</v>
      </c>
      <c r="H22" s="111"/>
      <c r="I22" s="111">
        <f t="shared" si="5"/>
        <v>0</v>
      </c>
      <c r="J22" s="112">
        <f t="shared" si="6"/>
        <v>35232208</v>
      </c>
    </row>
    <row r="23" spans="2:10" s="108" customFormat="1" x14ac:dyDescent="0.2">
      <c r="B23" s="109">
        <f t="shared" si="0"/>
        <v>8.0999999999999979</v>
      </c>
      <c r="C23" s="35" t="s">
        <v>141</v>
      </c>
      <c r="D23" s="103" t="s">
        <v>17</v>
      </c>
      <c r="E23" s="115">
        <v>14</v>
      </c>
      <c r="F23" s="27">
        <v>265303</v>
      </c>
      <c r="G23" s="27">
        <f t="shared" si="4"/>
        <v>3714242</v>
      </c>
      <c r="H23" s="111"/>
      <c r="I23" s="111">
        <f t="shared" si="5"/>
        <v>0</v>
      </c>
      <c r="J23" s="112">
        <f t="shared" si="6"/>
        <v>3714242</v>
      </c>
    </row>
    <row r="24" spans="2:10" s="108" customFormat="1" x14ac:dyDescent="0.2">
      <c r="B24" s="109">
        <f t="shared" si="0"/>
        <v>8.1099999999999977</v>
      </c>
      <c r="C24" s="35" t="s">
        <v>142</v>
      </c>
      <c r="D24" s="103" t="s">
        <v>17</v>
      </c>
      <c r="E24" s="115">
        <v>16</v>
      </c>
      <c r="F24" s="27">
        <v>294781</v>
      </c>
      <c r="G24" s="27">
        <f t="shared" si="4"/>
        <v>4716496</v>
      </c>
      <c r="H24" s="111"/>
      <c r="I24" s="111">
        <f t="shared" si="5"/>
        <v>0</v>
      </c>
      <c r="J24" s="112">
        <f t="shared" si="6"/>
        <v>4716496</v>
      </c>
    </row>
    <row r="25" spans="2:10" s="108" customFormat="1" x14ac:dyDescent="0.2">
      <c r="B25" s="109">
        <f t="shared" si="0"/>
        <v>8.1199999999999974</v>
      </c>
      <c r="C25" s="102" t="s">
        <v>143</v>
      </c>
      <c r="D25" s="103"/>
      <c r="E25" s="115"/>
      <c r="F25" s="110"/>
      <c r="G25" s="27">
        <f t="shared" si="4"/>
        <v>0</v>
      </c>
      <c r="H25" s="111"/>
      <c r="I25" s="111">
        <f t="shared" si="5"/>
        <v>0</v>
      </c>
      <c r="J25" s="112">
        <f t="shared" si="6"/>
        <v>0</v>
      </c>
    </row>
    <row r="26" spans="2:10" s="108" customFormat="1" x14ac:dyDescent="0.2">
      <c r="B26" s="109">
        <f t="shared" si="0"/>
        <v>8.1299999999999972</v>
      </c>
      <c r="C26" s="35" t="s">
        <v>144</v>
      </c>
      <c r="D26" s="103" t="s">
        <v>17</v>
      </c>
      <c r="E26" s="115">
        <v>96</v>
      </c>
      <c r="F26" s="110">
        <v>3719544.77</v>
      </c>
      <c r="G26" s="27">
        <f t="shared" si="4"/>
        <v>357076297.92000002</v>
      </c>
      <c r="H26" s="111"/>
      <c r="I26" s="111">
        <f t="shared" si="5"/>
        <v>0</v>
      </c>
      <c r="J26" s="112">
        <f t="shared" si="6"/>
        <v>357076297.92000002</v>
      </c>
    </row>
    <row r="27" spans="2:10" s="108" customFormat="1" ht="25.5" x14ac:dyDescent="0.2">
      <c r="B27" s="109">
        <f t="shared" si="0"/>
        <v>8.139999999999997</v>
      </c>
      <c r="C27" s="35" t="s">
        <v>145</v>
      </c>
      <c r="D27" s="103" t="s">
        <v>17</v>
      </c>
      <c r="E27" s="115">
        <v>16</v>
      </c>
      <c r="F27" s="110">
        <v>12914939</v>
      </c>
      <c r="G27" s="27">
        <f t="shared" si="4"/>
        <v>206639024</v>
      </c>
      <c r="H27" s="111"/>
      <c r="I27" s="111">
        <f t="shared" si="5"/>
        <v>0</v>
      </c>
      <c r="J27" s="112">
        <f t="shared" si="6"/>
        <v>206639024</v>
      </c>
    </row>
    <row r="28" spans="2:10" s="108" customFormat="1" ht="25.5" x14ac:dyDescent="0.2">
      <c r="B28" s="109">
        <f t="shared" si="0"/>
        <v>8.1499999999999968</v>
      </c>
      <c r="C28" s="35" t="s">
        <v>146</v>
      </c>
      <c r="D28" s="103" t="s">
        <v>17</v>
      </c>
      <c r="E28" s="115">
        <v>16</v>
      </c>
      <c r="F28" s="110">
        <v>21208303</v>
      </c>
      <c r="G28" s="27">
        <f t="shared" si="4"/>
        <v>339332848</v>
      </c>
      <c r="H28" s="111"/>
      <c r="I28" s="111">
        <f t="shared" si="5"/>
        <v>0</v>
      </c>
      <c r="J28" s="112">
        <f t="shared" si="6"/>
        <v>339332848</v>
      </c>
    </row>
    <row r="29" spans="2:10" s="108" customFormat="1" x14ac:dyDescent="0.2">
      <c r="B29" s="109">
        <f t="shared" si="0"/>
        <v>8.1599999999999966</v>
      </c>
      <c r="C29" s="35" t="s">
        <v>147</v>
      </c>
      <c r="D29" s="103" t="s">
        <v>17</v>
      </c>
      <c r="E29" s="115">
        <v>16</v>
      </c>
      <c r="F29" s="114">
        <v>495000</v>
      </c>
      <c r="G29" s="27">
        <f t="shared" si="4"/>
        <v>7920000</v>
      </c>
      <c r="H29" s="111"/>
      <c r="I29" s="111">
        <f t="shared" si="5"/>
        <v>0</v>
      </c>
      <c r="J29" s="112">
        <f t="shared" si="6"/>
        <v>7920000</v>
      </c>
    </row>
    <row r="30" spans="2:10" s="108" customFormat="1" ht="38.25" x14ac:dyDescent="0.2">
      <c r="B30" s="109">
        <f t="shared" si="0"/>
        <v>8.1699999999999964</v>
      </c>
      <c r="C30" s="35" t="s">
        <v>396</v>
      </c>
      <c r="D30" s="103" t="s">
        <v>17</v>
      </c>
      <c r="E30" s="115">
        <v>16</v>
      </c>
      <c r="F30" s="110">
        <v>1804058</v>
      </c>
      <c r="G30" s="27">
        <f t="shared" si="4"/>
        <v>28864928</v>
      </c>
      <c r="H30" s="111"/>
      <c r="I30" s="111">
        <f t="shared" si="5"/>
        <v>0</v>
      </c>
      <c r="J30" s="112">
        <f t="shared" si="6"/>
        <v>28864928</v>
      </c>
    </row>
    <row r="31" spans="2:10" s="108" customFormat="1" ht="25.5" x14ac:dyDescent="0.2">
      <c r="B31" s="109">
        <f t="shared" si="0"/>
        <v>8.1799999999999962</v>
      </c>
      <c r="C31" s="35" t="s">
        <v>148</v>
      </c>
      <c r="D31" s="103" t="s">
        <v>17</v>
      </c>
      <c r="E31" s="115">
        <v>16</v>
      </c>
      <c r="F31" s="110">
        <v>4276681</v>
      </c>
      <c r="G31" s="27">
        <f t="shared" si="4"/>
        <v>68426896</v>
      </c>
      <c r="H31" s="111"/>
      <c r="I31" s="111">
        <f t="shared" si="5"/>
        <v>0</v>
      </c>
      <c r="J31" s="112">
        <f t="shared" si="6"/>
        <v>68426896</v>
      </c>
    </row>
    <row r="32" spans="2:10" s="108" customFormat="1" ht="25.5" x14ac:dyDescent="0.2">
      <c r="B32" s="109">
        <f t="shared" si="0"/>
        <v>8.1899999999999959</v>
      </c>
      <c r="C32" s="35" t="s">
        <v>149</v>
      </c>
      <c r="D32" s="103" t="s">
        <v>17</v>
      </c>
      <c r="E32" s="115">
        <v>16</v>
      </c>
      <c r="F32" s="110">
        <v>172446</v>
      </c>
      <c r="G32" s="27">
        <f t="shared" si="4"/>
        <v>2759136</v>
      </c>
      <c r="H32" s="111"/>
      <c r="I32" s="111">
        <f t="shared" si="5"/>
        <v>0</v>
      </c>
      <c r="J32" s="112">
        <f t="shared" si="6"/>
        <v>2759136</v>
      </c>
    </row>
    <row r="33" spans="2:10" s="108" customFormat="1" ht="25.5" x14ac:dyDescent="0.2">
      <c r="B33" s="109">
        <f t="shared" si="0"/>
        <v>8.1999999999999957</v>
      </c>
      <c r="C33" s="35" t="s">
        <v>150</v>
      </c>
      <c r="D33" s="103" t="s">
        <v>17</v>
      </c>
      <c r="E33" s="115">
        <v>16</v>
      </c>
      <c r="F33" s="110">
        <v>172446</v>
      </c>
      <c r="G33" s="27">
        <f t="shared" si="4"/>
        <v>2759136</v>
      </c>
      <c r="H33" s="111"/>
      <c r="I33" s="111">
        <f t="shared" si="5"/>
        <v>0</v>
      </c>
      <c r="J33" s="112">
        <f t="shared" si="6"/>
        <v>2759136</v>
      </c>
    </row>
    <row r="34" spans="2:10" s="108" customFormat="1" x14ac:dyDescent="0.2">
      <c r="B34" s="109">
        <f t="shared" si="0"/>
        <v>8.2099999999999955</v>
      </c>
      <c r="C34" s="35" t="s">
        <v>151</v>
      </c>
      <c r="D34" s="103" t="s">
        <v>17</v>
      </c>
      <c r="E34" s="115">
        <v>16</v>
      </c>
      <c r="F34" s="110">
        <v>801214</v>
      </c>
      <c r="G34" s="27">
        <f t="shared" si="4"/>
        <v>12819424</v>
      </c>
      <c r="H34" s="111"/>
      <c r="I34" s="111">
        <f t="shared" si="5"/>
        <v>0</v>
      </c>
      <c r="J34" s="112">
        <f t="shared" si="6"/>
        <v>12819424</v>
      </c>
    </row>
    <row r="35" spans="2:10" s="108" customFormat="1" x14ac:dyDescent="0.2">
      <c r="B35" s="109">
        <f t="shared" si="0"/>
        <v>8.2199999999999953</v>
      </c>
      <c r="C35" s="35" t="s">
        <v>152</v>
      </c>
      <c r="D35" s="103" t="s">
        <v>17</v>
      </c>
      <c r="E35" s="115">
        <v>16</v>
      </c>
      <c r="F35" s="110">
        <v>626115</v>
      </c>
      <c r="G35" s="27">
        <f t="shared" si="4"/>
        <v>10017840</v>
      </c>
      <c r="H35" s="111"/>
      <c r="I35" s="111">
        <f t="shared" si="5"/>
        <v>0</v>
      </c>
      <c r="J35" s="112">
        <f t="shared" si="6"/>
        <v>10017840</v>
      </c>
    </row>
    <row r="36" spans="2:10" s="108" customFormat="1" ht="51" x14ac:dyDescent="0.2">
      <c r="B36" s="109">
        <f t="shared" si="0"/>
        <v>8.2299999999999951</v>
      </c>
      <c r="C36" s="35" t="s">
        <v>153</v>
      </c>
      <c r="D36" s="103" t="s">
        <v>17</v>
      </c>
      <c r="E36" s="115">
        <v>28</v>
      </c>
      <c r="F36" s="110">
        <v>3235297</v>
      </c>
      <c r="G36" s="27">
        <f t="shared" si="4"/>
        <v>90588316</v>
      </c>
      <c r="H36" s="111"/>
      <c r="I36" s="111">
        <f t="shared" si="5"/>
        <v>0</v>
      </c>
      <c r="J36" s="112">
        <f t="shared" si="6"/>
        <v>90588316</v>
      </c>
    </row>
    <row r="37" spans="2:10" s="108" customFormat="1" x14ac:dyDescent="0.2">
      <c r="B37" s="109">
        <f t="shared" si="0"/>
        <v>8.2399999999999949</v>
      </c>
      <c r="C37" s="35" t="s">
        <v>154</v>
      </c>
      <c r="D37" s="103" t="s">
        <v>17</v>
      </c>
      <c r="E37" s="115">
        <v>26</v>
      </c>
      <c r="F37" s="110">
        <v>870193</v>
      </c>
      <c r="G37" s="27">
        <f t="shared" si="4"/>
        <v>22625018</v>
      </c>
      <c r="H37" s="111"/>
      <c r="I37" s="111">
        <f t="shared" si="5"/>
        <v>0</v>
      </c>
      <c r="J37" s="112">
        <f t="shared" si="6"/>
        <v>22625018</v>
      </c>
    </row>
    <row r="38" spans="2:10" s="108" customFormat="1" ht="25.5" x14ac:dyDescent="0.2">
      <c r="B38" s="109">
        <f t="shared" si="0"/>
        <v>8.2499999999999947</v>
      </c>
      <c r="C38" s="35" t="s">
        <v>155</v>
      </c>
      <c r="D38" s="103" t="s">
        <v>17</v>
      </c>
      <c r="E38" s="115">
        <v>16</v>
      </c>
      <c r="F38" s="110">
        <v>2217931</v>
      </c>
      <c r="G38" s="27">
        <f t="shared" si="4"/>
        <v>35486896</v>
      </c>
      <c r="H38" s="111"/>
      <c r="I38" s="111">
        <f t="shared" si="5"/>
        <v>0</v>
      </c>
      <c r="J38" s="112">
        <f t="shared" si="6"/>
        <v>35486896</v>
      </c>
    </row>
    <row r="39" spans="2:10" s="108" customFormat="1" x14ac:dyDescent="0.2">
      <c r="B39" s="109">
        <f t="shared" si="0"/>
        <v>8.2599999999999945</v>
      </c>
      <c r="C39" s="35" t="s">
        <v>156</v>
      </c>
      <c r="D39" s="103" t="s">
        <v>17</v>
      </c>
      <c r="E39" s="115">
        <v>16</v>
      </c>
      <c r="F39" s="110">
        <v>4080357</v>
      </c>
      <c r="G39" s="27">
        <f t="shared" si="4"/>
        <v>65285712</v>
      </c>
      <c r="H39" s="111"/>
      <c r="I39" s="111">
        <f t="shared" si="5"/>
        <v>0</v>
      </c>
      <c r="J39" s="112">
        <f t="shared" si="6"/>
        <v>65285712</v>
      </c>
    </row>
    <row r="40" spans="2:10" s="108" customFormat="1" ht="25.5" x14ac:dyDescent="0.2">
      <c r="B40" s="109">
        <f t="shared" si="0"/>
        <v>8.2699999999999942</v>
      </c>
      <c r="C40" s="35" t="s">
        <v>157</v>
      </c>
      <c r="D40" s="103" t="s">
        <v>17</v>
      </c>
      <c r="E40" s="115">
        <v>14</v>
      </c>
      <c r="F40" s="110">
        <v>21208303</v>
      </c>
      <c r="G40" s="27">
        <f t="shared" si="4"/>
        <v>296916242</v>
      </c>
      <c r="H40" s="111"/>
      <c r="I40" s="111">
        <f t="shared" si="5"/>
        <v>0</v>
      </c>
      <c r="J40" s="112">
        <f t="shared" si="6"/>
        <v>296916242</v>
      </c>
    </row>
    <row r="41" spans="2:10" s="108" customFormat="1" x14ac:dyDescent="0.2">
      <c r="B41" s="109">
        <f t="shared" si="0"/>
        <v>8.279999999999994</v>
      </c>
      <c r="C41" s="102" t="s">
        <v>158</v>
      </c>
      <c r="D41" s="103"/>
      <c r="E41" s="115"/>
      <c r="F41" s="110"/>
      <c r="G41" s="27">
        <f t="shared" si="4"/>
        <v>0</v>
      </c>
      <c r="H41" s="111"/>
      <c r="I41" s="111">
        <f t="shared" si="5"/>
        <v>0</v>
      </c>
      <c r="J41" s="112">
        <f t="shared" si="6"/>
        <v>0</v>
      </c>
    </row>
    <row r="42" spans="2:10" s="108" customFormat="1" x14ac:dyDescent="0.2">
      <c r="B42" s="109">
        <f t="shared" si="0"/>
        <v>8.2899999999999938</v>
      </c>
      <c r="C42" s="35" t="s">
        <v>159</v>
      </c>
      <c r="D42" s="103" t="s">
        <v>17</v>
      </c>
      <c r="E42" s="115">
        <v>2</v>
      </c>
      <c r="F42" s="110">
        <v>21696460</v>
      </c>
      <c r="G42" s="27">
        <f t="shared" si="4"/>
        <v>43392920</v>
      </c>
      <c r="H42" s="111"/>
      <c r="I42" s="111">
        <f t="shared" si="5"/>
        <v>0</v>
      </c>
      <c r="J42" s="112">
        <f t="shared" si="6"/>
        <v>43392920</v>
      </c>
    </row>
    <row r="43" spans="2:10" s="108" customFormat="1" x14ac:dyDescent="0.2">
      <c r="B43" s="109">
        <f t="shared" si="0"/>
        <v>8.2999999999999936</v>
      </c>
      <c r="C43" s="35" t="s">
        <v>160</v>
      </c>
      <c r="D43" s="103" t="s">
        <v>17</v>
      </c>
      <c r="E43" s="115">
        <v>2</v>
      </c>
      <c r="F43" s="110">
        <v>955090</v>
      </c>
      <c r="G43" s="27">
        <f t="shared" si="4"/>
        <v>1910180</v>
      </c>
      <c r="H43" s="111"/>
      <c r="I43" s="111">
        <f t="shared" si="5"/>
        <v>0</v>
      </c>
      <c r="J43" s="112">
        <f t="shared" si="6"/>
        <v>1910180</v>
      </c>
    </row>
    <row r="44" spans="2:10" s="108" customFormat="1" ht="38.25" x14ac:dyDescent="0.2">
      <c r="B44" s="109">
        <f t="shared" si="0"/>
        <v>8.3099999999999934</v>
      </c>
      <c r="C44" s="35" t="s">
        <v>161</v>
      </c>
      <c r="D44" s="103" t="s">
        <v>17</v>
      </c>
      <c r="E44" s="115">
        <v>2</v>
      </c>
      <c r="F44" s="110">
        <v>12914939</v>
      </c>
      <c r="G44" s="27">
        <f t="shared" si="4"/>
        <v>25829878</v>
      </c>
      <c r="H44" s="111"/>
      <c r="I44" s="111">
        <f t="shared" si="5"/>
        <v>0</v>
      </c>
      <c r="J44" s="112">
        <f t="shared" si="6"/>
        <v>25829878</v>
      </c>
    </row>
    <row r="45" spans="2:10" s="108" customFormat="1" x14ac:dyDescent="0.2">
      <c r="B45" s="109">
        <f t="shared" si="0"/>
        <v>8.3199999999999932</v>
      </c>
      <c r="C45" s="35" t="s">
        <v>162</v>
      </c>
      <c r="D45" s="103" t="s">
        <v>17</v>
      </c>
      <c r="E45" s="115">
        <v>2</v>
      </c>
      <c r="F45" s="110">
        <v>1873038</v>
      </c>
      <c r="G45" s="27">
        <f t="shared" si="4"/>
        <v>3746076</v>
      </c>
      <c r="H45" s="111"/>
      <c r="I45" s="111">
        <f t="shared" si="5"/>
        <v>0</v>
      </c>
      <c r="J45" s="112">
        <f t="shared" si="6"/>
        <v>3746076</v>
      </c>
    </row>
    <row r="46" spans="2:10" s="108" customFormat="1" x14ac:dyDescent="0.2">
      <c r="B46" s="109">
        <f t="shared" si="0"/>
        <v>8.329999999999993</v>
      </c>
      <c r="C46" s="102" t="s">
        <v>163</v>
      </c>
      <c r="D46" s="103"/>
      <c r="E46" s="115"/>
      <c r="F46" s="110">
        <v>0</v>
      </c>
      <c r="G46" s="27">
        <f t="shared" si="4"/>
        <v>0</v>
      </c>
      <c r="H46" s="111"/>
      <c r="I46" s="111">
        <f t="shared" si="5"/>
        <v>0</v>
      </c>
      <c r="J46" s="112">
        <f t="shared" si="6"/>
        <v>0</v>
      </c>
    </row>
    <row r="47" spans="2:10" s="108" customFormat="1" x14ac:dyDescent="0.2">
      <c r="B47" s="109">
        <f t="shared" si="0"/>
        <v>8.3399999999999928</v>
      </c>
      <c r="C47" s="31" t="s">
        <v>164</v>
      </c>
      <c r="D47" s="103" t="s">
        <v>17</v>
      </c>
      <c r="E47" s="115">
        <v>1</v>
      </c>
      <c r="F47" s="110">
        <v>10612111</v>
      </c>
      <c r="G47" s="27">
        <f t="shared" si="4"/>
        <v>10612111</v>
      </c>
      <c r="H47" s="111"/>
      <c r="I47" s="111">
        <f t="shared" si="5"/>
        <v>0</v>
      </c>
      <c r="J47" s="112">
        <f t="shared" si="6"/>
        <v>10612111</v>
      </c>
    </row>
    <row r="48" spans="2:10" s="108" customFormat="1" x14ac:dyDescent="0.2">
      <c r="B48" s="109">
        <f t="shared" si="0"/>
        <v>8.3499999999999925</v>
      </c>
      <c r="C48" s="116" t="s">
        <v>165</v>
      </c>
      <c r="D48" s="103" t="s">
        <v>17</v>
      </c>
      <c r="E48" s="85">
        <v>1</v>
      </c>
      <c r="F48" s="114">
        <v>779504</v>
      </c>
      <c r="G48" s="27">
        <f t="shared" si="4"/>
        <v>779504</v>
      </c>
      <c r="H48" s="111">
        <f>(1397985+96942)*1.21</f>
        <v>1808861.67</v>
      </c>
      <c r="I48" s="111">
        <f t="shared" si="5"/>
        <v>1808861.67</v>
      </c>
      <c r="J48" s="112">
        <f t="shared" si="6"/>
        <v>2588365.67</v>
      </c>
    </row>
    <row r="49" spans="2:10" s="108" customFormat="1" x14ac:dyDescent="0.2">
      <c r="B49" s="109">
        <f t="shared" si="0"/>
        <v>8.3599999999999923</v>
      </c>
      <c r="C49" s="116" t="s">
        <v>166</v>
      </c>
      <c r="D49" s="103" t="s">
        <v>17</v>
      </c>
      <c r="E49" s="85">
        <v>1</v>
      </c>
      <c r="F49" s="114">
        <v>1345654</v>
      </c>
      <c r="G49" s="27">
        <f t="shared" si="4"/>
        <v>1345654</v>
      </c>
      <c r="H49" s="111">
        <f>(372671+76500)</f>
        <v>449171</v>
      </c>
      <c r="I49" s="111">
        <f t="shared" si="5"/>
        <v>449171</v>
      </c>
      <c r="J49" s="112">
        <f t="shared" si="6"/>
        <v>1794825</v>
      </c>
    </row>
    <row r="50" spans="2:10" s="108" customFormat="1" x14ac:dyDescent="0.2">
      <c r="B50" s="109">
        <f t="shared" si="0"/>
        <v>8.3699999999999921</v>
      </c>
      <c r="C50" s="35" t="s">
        <v>34</v>
      </c>
      <c r="D50" s="103" t="s">
        <v>17</v>
      </c>
      <c r="E50" s="26">
        <v>16</v>
      </c>
      <c r="F50" s="27">
        <v>31385</v>
      </c>
      <c r="G50" s="27">
        <f t="shared" si="4"/>
        <v>502160</v>
      </c>
      <c r="H50" s="28">
        <v>31603.894349247203</v>
      </c>
      <c r="I50" s="28">
        <f t="shared" si="5"/>
        <v>505662.30958795524</v>
      </c>
      <c r="J50" s="29">
        <f t="shared" si="6"/>
        <v>1007822.3095879552</v>
      </c>
    </row>
    <row r="51" spans="2:10" s="108" customFormat="1" ht="25.5" x14ac:dyDescent="0.2">
      <c r="B51" s="109">
        <f t="shared" si="0"/>
        <v>8.3799999999999919</v>
      </c>
      <c r="C51" s="31" t="s">
        <v>167</v>
      </c>
      <c r="D51" s="103" t="s">
        <v>17</v>
      </c>
      <c r="E51" s="115">
        <v>1</v>
      </c>
      <c r="F51" s="110">
        <v>29246977</v>
      </c>
      <c r="G51" s="27">
        <f t="shared" si="4"/>
        <v>29246977</v>
      </c>
      <c r="H51" s="111"/>
      <c r="I51" s="111">
        <f>E51*H51</f>
        <v>0</v>
      </c>
      <c r="J51" s="112">
        <f>G51+I51</f>
        <v>29246977</v>
      </c>
    </row>
    <row r="52" spans="2:10" s="108" customFormat="1" ht="25.5" x14ac:dyDescent="0.2">
      <c r="B52" s="109">
        <f t="shared" si="0"/>
        <v>8.3899999999999917</v>
      </c>
      <c r="C52" s="35" t="s">
        <v>168</v>
      </c>
      <c r="D52" s="103" t="s">
        <v>17</v>
      </c>
      <c r="E52" s="115">
        <v>1</v>
      </c>
      <c r="F52" s="110">
        <v>17000601</v>
      </c>
      <c r="G52" s="27">
        <f t="shared" si="4"/>
        <v>17000601</v>
      </c>
      <c r="H52" s="111"/>
      <c r="I52" s="111">
        <f>E52*H52</f>
        <v>0</v>
      </c>
      <c r="J52" s="112">
        <f>G52+I52</f>
        <v>17000601</v>
      </c>
    </row>
    <row r="53" spans="2:10" s="108" customFormat="1" x14ac:dyDescent="0.2">
      <c r="B53" s="109">
        <f t="shared" si="0"/>
        <v>8.3999999999999915</v>
      </c>
      <c r="C53" s="102" t="s">
        <v>169</v>
      </c>
      <c r="D53" s="103"/>
      <c r="E53" s="115"/>
      <c r="F53" s="110"/>
      <c r="G53" s="27"/>
      <c r="H53" s="111"/>
      <c r="I53" s="111"/>
      <c r="J53" s="112"/>
    </row>
    <row r="54" spans="2:10" s="108" customFormat="1" ht="25.5" x14ac:dyDescent="0.2">
      <c r="B54" s="109">
        <f t="shared" si="0"/>
        <v>8.4099999999999913</v>
      </c>
      <c r="C54" s="35" t="s">
        <v>170</v>
      </c>
      <c r="D54" s="103" t="s">
        <v>17</v>
      </c>
      <c r="E54" s="115">
        <v>2</v>
      </c>
      <c r="F54" s="110">
        <v>15009769</v>
      </c>
      <c r="G54" s="27">
        <f t="shared" si="4"/>
        <v>30019538</v>
      </c>
      <c r="H54" s="111"/>
      <c r="I54" s="111">
        <f>E54*H54</f>
        <v>0</v>
      </c>
      <c r="J54" s="112">
        <f>G54+I54</f>
        <v>30019538</v>
      </c>
    </row>
    <row r="55" spans="2:10" s="108" customFormat="1" x14ac:dyDescent="0.2">
      <c r="B55" s="109">
        <f t="shared" si="0"/>
        <v>8.419999999999991</v>
      </c>
      <c r="C55" s="35" t="s">
        <v>171</v>
      </c>
      <c r="D55" s="103" t="s">
        <v>17</v>
      </c>
      <c r="E55" s="115">
        <v>2</v>
      </c>
      <c r="F55" s="110">
        <v>5093813</v>
      </c>
      <c r="G55" s="27">
        <f t="shared" si="4"/>
        <v>10187626</v>
      </c>
      <c r="H55" s="111"/>
      <c r="I55" s="111">
        <f>E55*H55</f>
        <v>0</v>
      </c>
      <c r="J55" s="112">
        <f>G55+I55</f>
        <v>10187626</v>
      </c>
    </row>
    <row r="56" spans="2:10" s="108" customFormat="1" x14ac:dyDescent="0.2">
      <c r="B56" s="109">
        <f t="shared" si="0"/>
        <v>8.4299999999999908</v>
      </c>
      <c r="C56" s="35" t="s">
        <v>172</v>
      </c>
      <c r="D56" s="103" t="s">
        <v>17</v>
      </c>
      <c r="E56" s="115">
        <v>1</v>
      </c>
      <c r="F56" s="110">
        <v>2228543</v>
      </c>
      <c r="G56" s="27">
        <f t="shared" si="4"/>
        <v>2228543</v>
      </c>
      <c r="H56" s="111"/>
      <c r="I56" s="111">
        <f>E56*H56</f>
        <v>0</v>
      </c>
      <c r="J56" s="112">
        <f>G56+I56</f>
        <v>2228543</v>
      </c>
    </row>
    <row r="57" spans="2:10" s="108" customFormat="1" x14ac:dyDescent="0.2">
      <c r="B57" s="109">
        <f t="shared" si="0"/>
        <v>8.4399999999999906</v>
      </c>
      <c r="C57" s="102" t="s">
        <v>173</v>
      </c>
      <c r="D57" s="103"/>
      <c r="E57" s="115"/>
      <c r="F57" s="110"/>
      <c r="G57" s="27"/>
      <c r="H57" s="111"/>
      <c r="I57" s="111"/>
      <c r="J57" s="112"/>
    </row>
    <row r="58" spans="2:10" s="108" customFormat="1" x14ac:dyDescent="0.2">
      <c r="B58" s="109">
        <f t="shared" si="0"/>
        <v>8.4499999999999904</v>
      </c>
      <c r="C58" s="35" t="s">
        <v>173</v>
      </c>
      <c r="D58" s="103" t="s">
        <v>17</v>
      </c>
      <c r="E58" s="115">
        <v>16</v>
      </c>
      <c r="F58" s="110"/>
      <c r="G58" s="27"/>
      <c r="H58" s="110">
        <f>31985884*1.21</f>
        <v>38702919.640000001</v>
      </c>
      <c r="I58" s="111">
        <f>E58*H58</f>
        <v>619246714.24000001</v>
      </c>
      <c r="J58" s="112">
        <f>G58+I58</f>
        <v>619246714.24000001</v>
      </c>
    </row>
    <row r="59" spans="2:10" s="108" customFormat="1" ht="25.5" x14ac:dyDescent="0.2">
      <c r="B59" s="109">
        <f t="shared" si="0"/>
        <v>8.4599999999999902</v>
      </c>
      <c r="C59" s="35" t="s">
        <v>174</v>
      </c>
      <c r="D59" s="103" t="s">
        <v>17</v>
      </c>
      <c r="E59" s="115">
        <v>16</v>
      </c>
      <c r="F59" s="114">
        <v>3257300</v>
      </c>
      <c r="G59" s="27">
        <f t="shared" si="4"/>
        <v>52116800</v>
      </c>
      <c r="H59" s="111"/>
      <c r="I59" s="111">
        <f>E59*H59</f>
        <v>0</v>
      </c>
      <c r="J59" s="112">
        <f>G59+I59</f>
        <v>52116800</v>
      </c>
    </row>
    <row r="60" spans="2:10" s="108" customFormat="1" x14ac:dyDescent="0.2">
      <c r="B60" s="109">
        <f t="shared" si="0"/>
        <v>8.46999999999999</v>
      </c>
      <c r="C60" s="102" t="s">
        <v>175</v>
      </c>
      <c r="D60" s="103"/>
      <c r="E60" s="115"/>
      <c r="F60" s="110"/>
      <c r="G60" s="27"/>
      <c r="H60" s="111"/>
      <c r="I60" s="111"/>
      <c r="J60" s="112"/>
    </row>
    <row r="61" spans="2:10" s="108" customFormat="1" x14ac:dyDescent="0.2">
      <c r="B61" s="109">
        <f t="shared" si="0"/>
        <v>8.4799999999999898</v>
      </c>
      <c r="C61" s="102" t="s">
        <v>176</v>
      </c>
      <c r="D61" s="103"/>
      <c r="E61" s="115"/>
      <c r="F61" s="110"/>
      <c r="G61" s="27"/>
      <c r="H61" s="111"/>
      <c r="I61" s="111"/>
      <c r="J61" s="112"/>
    </row>
    <row r="62" spans="2:10" s="108" customFormat="1" x14ac:dyDescent="0.2">
      <c r="B62" s="109">
        <f t="shared" si="0"/>
        <v>8.4899999999999896</v>
      </c>
      <c r="C62" s="35" t="s">
        <v>177</v>
      </c>
      <c r="D62" s="103" t="s">
        <v>17</v>
      </c>
      <c r="E62" s="115">
        <v>16</v>
      </c>
      <c r="F62" s="110">
        <v>4458870</v>
      </c>
      <c r="G62" s="27">
        <f t="shared" si="4"/>
        <v>71341920</v>
      </c>
      <c r="H62" s="111"/>
      <c r="I62" s="111">
        <f>E62*H62</f>
        <v>0</v>
      </c>
      <c r="J62" s="112">
        <f>G62+I62</f>
        <v>71341920</v>
      </c>
    </row>
    <row r="63" spans="2:10" s="108" customFormat="1" ht="25.5" x14ac:dyDescent="0.2">
      <c r="B63" s="109">
        <f t="shared" si="0"/>
        <v>8.4999999999999893</v>
      </c>
      <c r="C63" s="35" t="s">
        <v>178</v>
      </c>
      <c r="D63" s="103" t="s">
        <v>17</v>
      </c>
      <c r="E63" s="115">
        <v>2</v>
      </c>
      <c r="F63" s="110">
        <v>2229435</v>
      </c>
      <c r="G63" s="27">
        <f t="shared" si="4"/>
        <v>4458870</v>
      </c>
      <c r="H63" s="111"/>
      <c r="I63" s="111">
        <f>E63*H63</f>
        <v>0</v>
      </c>
      <c r="J63" s="112">
        <f>G63+I63</f>
        <v>4458870</v>
      </c>
    </row>
    <row r="64" spans="2:10" s="108" customFormat="1" x14ac:dyDescent="0.2">
      <c r="B64" s="109">
        <f t="shared" si="0"/>
        <v>8.5099999999999891</v>
      </c>
      <c r="C64" s="102" t="s">
        <v>179</v>
      </c>
      <c r="D64" s="103"/>
      <c r="E64" s="115"/>
      <c r="F64" s="110"/>
      <c r="G64" s="27"/>
      <c r="H64" s="111"/>
      <c r="I64" s="111"/>
      <c r="J64" s="112"/>
    </row>
    <row r="65" spans="2:10" s="108" customFormat="1" x14ac:dyDescent="0.2">
      <c r="B65" s="109">
        <f t="shared" si="0"/>
        <v>8.5199999999999889</v>
      </c>
      <c r="C65" s="35" t="s">
        <v>180</v>
      </c>
      <c r="D65" s="103" t="s">
        <v>17</v>
      </c>
      <c r="E65" s="115">
        <v>1</v>
      </c>
      <c r="F65" s="110">
        <v>8917740</v>
      </c>
      <c r="G65" s="27">
        <f t="shared" si="4"/>
        <v>8917740</v>
      </c>
      <c r="H65" s="111"/>
      <c r="I65" s="111">
        <f>E65*H65</f>
        <v>0</v>
      </c>
      <c r="J65" s="112">
        <f>G65+I65</f>
        <v>8917740</v>
      </c>
    </row>
    <row r="66" spans="2:10" s="108" customFormat="1" ht="25.5" x14ac:dyDescent="0.2">
      <c r="B66" s="109">
        <f t="shared" si="0"/>
        <v>8.5299999999999887</v>
      </c>
      <c r="C66" s="35" t="s">
        <v>181</v>
      </c>
      <c r="D66" s="103" t="s">
        <v>17</v>
      </c>
      <c r="E66" s="115">
        <v>1</v>
      </c>
      <c r="F66" s="114">
        <v>0</v>
      </c>
      <c r="G66" s="27">
        <f t="shared" si="4"/>
        <v>0</v>
      </c>
      <c r="H66" s="111"/>
      <c r="I66" s="111">
        <f>E66*H66</f>
        <v>0</v>
      </c>
      <c r="J66" s="112">
        <f>G66+I66</f>
        <v>0</v>
      </c>
    </row>
    <row r="67" spans="2:10" s="108" customFormat="1" x14ac:dyDescent="0.2">
      <c r="B67" s="109">
        <f t="shared" si="0"/>
        <v>8.5399999999999885</v>
      </c>
      <c r="C67" s="35" t="s">
        <v>182</v>
      </c>
      <c r="D67" s="103" t="s">
        <v>17</v>
      </c>
      <c r="E67" s="115">
        <v>1</v>
      </c>
      <c r="F67" s="114">
        <v>0</v>
      </c>
      <c r="G67" s="27">
        <f t="shared" si="4"/>
        <v>0</v>
      </c>
      <c r="H67" s="111"/>
      <c r="I67" s="111">
        <f>E67*H67</f>
        <v>0</v>
      </c>
      <c r="J67" s="112">
        <f>G67+I67</f>
        <v>0</v>
      </c>
    </row>
    <row r="68" spans="2:10" s="108" customFormat="1" x14ac:dyDescent="0.2">
      <c r="B68" s="109">
        <f t="shared" si="0"/>
        <v>8.5499999999999883</v>
      </c>
      <c r="C68" s="35" t="s">
        <v>183</v>
      </c>
      <c r="D68" s="103" t="s">
        <v>17</v>
      </c>
      <c r="E68" s="115">
        <v>18</v>
      </c>
      <c r="F68" s="114">
        <v>0</v>
      </c>
      <c r="G68" s="27">
        <f t="shared" si="4"/>
        <v>0</v>
      </c>
      <c r="H68" s="111"/>
      <c r="I68" s="111">
        <f>E68*H68</f>
        <v>0</v>
      </c>
      <c r="J68" s="112">
        <f>G68+I68</f>
        <v>0</v>
      </c>
    </row>
    <row r="69" spans="2:10" s="108" customFormat="1" ht="51" x14ac:dyDescent="0.2">
      <c r="B69" s="109">
        <f t="shared" si="0"/>
        <v>8.5599999999999881</v>
      </c>
      <c r="C69" s="36" t="s">
        <v>184</v>
      </c>
      <c r="D69" s="103" t="s">
        <v>17</v>
      </c>
      <c r="E69" s="115">
        <v>4</v>
      </c>
      <c r="F69" s="27">
        <v>5158994</v>
      </c>
      <c r="G69" s="27">
        <f t="shared" si="4"/>
        <v>20635976</v>
      </c>
      <c r="H69" s="28">
        <f>326586+244218</f>
        <v>570804</v>
      </c>
      <c r="I69" s="28">
        <f t="shared" ref="I69" si="7">E69*H69</f>
        <v>2283216</v>
      </c>
      <c r="J69" s="29">
        <f t="shared" ref="J69" si="8">G69+I69</f>
        <v>22919192</v>
      </c>
    </row>
    <row r="70" spans="2:10" s="108" customFormat="1" ht="51" x14ac:dyDescent="0.2">
      <c r="B70" s="109">
        <f t="shared" si="0"/>
        <v>8.5699999999999878</v>
      </c>
      <c r="C70" s="36" t="s">
        <v>185</v>
      </c>
      <c r="D70" s="103" t="s">
        <v>17</v>
      </c>
      <c r="E70" s="115">
        <v>2</v>
      </c>
      <c r="F70" s="27">
        <v>1700201</v>
      </c>
      <c r="G70" s="27">
        <f>E70*F70</f>
        <v>3400402</v>
      </c>
      <c r="H70" s="66">
        <f>346081+96538</f>
        <v>442619</v>
      </c>
      <c r="I70" s="66">
        <f>E70*H70</f>
        <v>885238</v>
      </c>
      <c r="J70" s="29">
        <f>G70+I70</f>
        <v>4285640</v>
      </c>
    </row>
    <row r="71" spans="2:10" s="108" customFormat="1" x14ac:dyDescent="0.2">
      <c r="B71" s="109">
        <f t="shared" si="0"/>
        <v>8.5799999999999876</v>
      </c>
      <c r="C71" s="83" t="s">
        <v>116</v>
      </c>
      <c r="D71" s="25" t="s">
        <v>17</v>
      </c>
      <c r="E71" s="26">
        <v>16</v>
      </c>
      <c r="F71" s="27">
        <v>121768</v>
      </c>
      <c r="G71" s="27">
        <f t="shared" ref="G71:G73" si="9">E71*F71</f>
        <v>1948288</v>
      </c>
      <c r="H71" s="66">
        <f>16601+6533</f>
        <v>23134</v>
      </c>
      <c r="I71" s="66">
        <f t="shared" ref="I71:I89" si="10">E71*H71</f>
        <v>370144</v>
      </c>
      <c r="J71" s="29">
        <f t="shared" ref="J71:J89" si="11">G71+I71</f>
        <v>2318432</v>
      </c>
    </row>
    <row r="72" spans="2:10" s="108" customFormat="1" x14ac:dyDescent="0.2">
      <c r="B72" s="109">
        <f t="shared" si="0"/>
        <v>8.5899999999999874</v>
      </c>
      <c r="C72" s="83" t="s">
        <v>186</v>
      </c>
      <c r="D72" s="25" t="s">
        <v>17</v>
      </c>
      <c r="E72" s="26">
        <v>4</v>
      </c>
      <c r="F72" s="27">
        <v>2447029</v>
      </c>
      <c r="G72" s="27">
        <f t="shared" si="9"/>
        <v>9788116</v>
      </c>
      <c r="H72" s="66">
        <f>16497+115585</f>
        <v>132082</v>
      </c>
      <c r="I72" s="66">
        <f t="shared" si="10"/>
        <v>528328</v>
      </c>
      <c r="J72" s="29">
        <f t="shared" si="11"/>
        <v>10316444</v>
      </c>
    </row>
    <row r="73" spans="2:10" s="108" customFormat="1" x14ac:dyDescent="0.2">
      <c r="B73" s="109">
        <f t="shared" si="0"/>
        <v>8.5999999999999872</v>
      </c>
      <c r="C73" s="83" t="s">
        <v>117</v>
      </c>
      <c r="D73" s="25" t="s">
        <v>17</v>
      </c>
      <c r="E73" s="26">
        <v>8</v>
      </c>
      <c r="F73" s="27">
        <v>385359</v>
      </c>
      <c r="G73" s="27">
        <f t="shared" si="9"/>
        <v>3082872</v>
      </c>
      <c r="H73" s="66">
        <f>15653+17853</f>
        <v>33506</v>
      </c>
      <c r="I73" s="66">
        <f t="shared" si="10"/>
        <v>268048</v>
      </c>
      <c r="J73" s="29">
        <f t="shared" si="11"/>
        <v>3350920</v>
      </c>
    </row>
    <row r="74" spans="2:10" s="108" customFormat="1" ht="25.5" customHeight="1" x14ac:dyDescent="0.2">
      <c r="B74" s="109">
        <f t="shared" si="0"/>
        <v>8.609999999999987</v>
      </c>
      <c r="C74" s="36" t="s">
        <v>35</v>
      </c>
      <c r="D74" s="103" t="s">
        <v>17</v>
      </c>
      <c r="E74" s="117">
        <v>2</v>
      </c>
      <c r="F74" s="27">
        <v>192904</v>
      </c>
      <c r="G74" s="27">
        <f t="shared" si="4"/>
        <v>385808</v>
      </c>
      <c r="H74" s="66">
        <f>153879+16384</f>
        <v>170263</v>
      </c>
      <c r="I74" s="66">
        <f t="shared" si="10"/>
        <v>340526</v>
      </c>
      <c r="J74" s="29">
        <f t="shared" si="11"/>
        <v>726334</v>
      </c>
    </row>
    <row r="75" spans="2:10" s="108" customFormat="1" ht="25.5" x14ac:dyDescent="0.2">
      <c r="B75" s="109">
        <f t="shared" si="0"/>
        <v>8.6199999999999868</v>
      </c>
      <c r="C75" s="34" t="s">
        <v>36</v>
      </c>
      <c r="D75" s="78" t="s">
        <v>17</v>
      </c>
      <c r="E75" s="26">
        <v>4</v>
      </c>
      <c r="F75" s="27">
        <v>962106</v>
      </c>
      <c r="G75" s="27">
        <f t="shared" si="4"/>
        <v>3848424</v>
      </c>
      <c r="H75" s="28">
        <f>1439361*0.54*1.052</f>
        <v>817672.19688000006</v>
      </c>
      <c r="I75" s="28">
        <f t="shared" si="10"/>
        <v>3270688.7875200002</v>
      </c>
      <c r="J75" s="29">
        <f t="shared" si="11"/>
        <v>7119112.7875200007</v>
      </c>
    </row>
    <row r="76" spans="2:10" s="108" customFormat="1" x14ac:dyDescent="0.2">
      <c r="B76" s="109">
        <f t="shared" si="0"/>
        <v>8.6299999999999866</v>
      </c>
      <c r="C76" s="36" t="s">
        <v>37</v>
      </c>
      <c r="D76" s="25" t="s">
        <v>17</v>
      </c>
      <c r="E76" s="26">
        <v>2</v>
      </c>
      <c r="F76" s="27">
        <v>455761</v>
      </c>
      <c r="G76" s="27">
        <f t="shared" si="4"/>
        <v>911522</v>
      </c>
      <c r="H76" s="66">
        <f>72486+24969</f>
        <v>97455</v>
      </c>
      <c r="I76" s="66">
        <f t="shared" si="10"/>
        <v>194910</v>
      </c>
      <c r="J76" s="29">
        <f t="shared" si="11"/>
        <v>1106432</v>
      </c>
    </row>
    <row r="77" spans="2:10" s="108" customFormat="1" ht="25.5" x14ac:dyDescent="0.2">
      <c r="B77" s="109">
        <f t="shared" si="0"/>
        <v>8.6399999999999864</v>
      </c>
      <c r="C77" s="34" t="s">
        <v>40</v>
      </c>
      <c r="D77" s="78" t="s">
        <v>17</v>
      </c>
      <c r="E77" s="26">
        <v>2</v>
      </c>
      <c r="F77" s="27">
        <v>263833</v>
      </c>
      <c r="G77" s="27">
        <f t="shared" si="4"/>
        <v>527666</v>
      </c>
      <c r="H77" s="28">
        <v>2265263.3868821794</v>
      </c>
      <c r="I77" s="28">
        <f t="shared" si="10"/>
        <v>4530526.7737643588</v>
      </c>
      <c r="J77" s="29">
        <f t="shared" si="11"/>
        <v>5058192.7737643588</v>
      </c>
    </row>
    <row r="78" spans="2:10" s="108" customFormat="1" x14ac:dyDescent="0.2">
      <c r="B78" s="109">
        <f t="shared" si="0"/>
        <v>8.6499999999999861</v>
      </c>
      <c r="C78" s="34" t="s">
        <v>187</v>
      </c>
      <c r="D78" s="78" t="s">
        <v>17</v>
      </c>
      <c r="E78" s="26">
        <v>2</v>
      </c>
      <c r="F78" s="27">
        <v>68106140</v>
      </c>
      <c r="G78" s="27">
        <f t="shared" si="4"/>
        <v>136212280</v>
      </c>
      <c r="H78" s="111"/>
      <c r="I78" s="111">
        <f t="shared" si="10"/>
        <v>0</v>
      </c>
      <c r="J78" s="112">
        <f t="shared" si="11"/>
        <v>136212280</v>
      </c>
    </row>
    <row r="79" spans="2:10" s="108" customFormat="1" x14ac:dyDescent="0.2">
      <c r="B79" s="109">
        <f t="shared" si="0"/>
        <v>8.6599999999999859</v>
      </c>
      <c r="C79" s="102" t="s">
        <v>188</v>
      </c>
      <c r="D79" s="103"/>
      <c r="E79" s="115"/>
      <c r="F79" s="110"/>
      <c r="G79" s="27"/>
      <c r="H79" s="111"/>
      <c r="I79" s="111"/>
      <c r="J79" s="112"/>
    </row>
    <row r="80" spans="2:10" s="108" customFormat="1" x14ac:dyDescent="0.2">
      <c r="B80" s="109">
        <f t="shared" ref="B80:B91" si="12">B79+0.01</f>
        <v>8.6699999999999857</v>
      </c>
      <c r="C80" s="35" t="s">
        <v>189</v>
      </c>
      <c r="D80" s="103" t="s">
        <v>17</v>
      </c>
      <c r="E80" s="115">
        <v>1</v>
      </c>
      <c r="F80" s="98">
        <v>39852667.637999997</v>
      </c>
      <c r="G80" s="27">
        <f t="shared" ref="G80" si="13">E80*F80</f>
        <v>39852667.637999997</v>
      </c>
      <c r="H80" s="28">
        <f>(1089333+21858333)*1.051</f>
        <v>24117996.965999998</v>
      </c>
      <c r="I80" s="28">
        <f t="shared" ref="I80" si="14">E80*H80</f>
        <v>24117996.965999998</v>
      </c>
      <c r="J80" s="29">
        <f t="shared" ref="J80" si="15">G80+I80</f>
        <v>63970664.603999995</v>
      </c>
    </row>
    <row r="81" spans="2:10" s="108" customFormat="1" x14ac:dyDescent="0.2">
      <c r="B81" s="109">
        <f t="shared" si="12"/>
        <v>8.6799999999999855</v>
      </c>
      <c r="C81" s="35" t="s">
        <v>190</v>
      </c>
      <c r="D81" s="103" t="s">
        <v>17</v>
      </c>
      <c r="E81" s="115">
        <v>1</v>
      </c>
      <c r="F81" s="114">
        <v>5389254.1540000001</v>
      </c>
      <c r="G81" s="27">
        <f t="shared" si="4"/>
        <v>5389254.1540000001</v>
      </c>
      <c r="H81" s="111"/>
      <c r="I81" s="111">
        <f t="shared" si="10"/>
        <v>0</v>
      </c>
      <c r="J81" s="112">
        <f t="shared" si="11"/>
        <v>5389254.1540000001</v>
      </c>
    </row>
    <row r="82" spans="2:10" s="108" customFormat="1" x14ac:dyDescent="0.2">
      <c r="B82" s="109">
        <f t="shared" si="12"/>
        <v>8.6899999999999853</v>
      </c>
      <c r="C82" s="35" t="s">
        <v>191</v>
      </c>
      <c r="D82" s="103" t="s">
        <v>17</v>
      </c>
      <c r="E82" s="115">
        <v>1</v>
      </c>
      <c r="F82" s="98">
        <v>12189721.022999998</v>
      </c>
      <c r="G82" s="27">
        <f t="shared" si="4"/>
        <v>12189721.022999998</v>
      </c>
      <c r="H82" s="28">
        <f>(40850+215000)*1.051</f>
        <v>268898.34999999998</v>
      </c>
      <c r="I82" s="28">
        <f t="shared" si="10"/>
        <v>268898.34999999998</v>
      </c>
      <c r="J82" s="29">
        <f t="shared" si="11"/>
        <v>12458619.372999998</v>
      </c>
    </row>
    <row r="83" spans="2:10" s="108" customFormat="1" x14ac:dyDescent="0.2">
      <c r="B83" s="109">
        <f t="shared" si="12"/>
        <v>8.6999999999999851</v>
      </c>
      <c r="C83" s="35" t="s">
        <v>192</v>
      </c>
      <c r="D83" s="103" t="s">
        <v>17</v>
      </c>
      <c r="E83" s="115">
        <v>1</v>
      </c>
      <c r="F83" s="98">
        <v>4968343.1459999997</v>
      </c>
      <c r="G83" s="27">
        <f t="shared" ref="G83:G91" si="16">E83*F83</f>
        <v>4968343.1459999997</v>
      </c>
      <c r="H83" s="28">
        <f>(116714+614286)*1.051</f>
        <v>768281</v>
      </c>
      <c r="I83" s="28">
        <f t="shared" si="10"/>
        <v>768281</v>
      </c>
      <c r="J83" s="29">
        <f t="shared" si="11"/>
        <v>5736624.1459999997</v>
      </c>
    </row>
    <row r="84" spans="2:10" s="108" customFormat="1" x14ac:dyDescent="0.2">
      <c r="B84" s="109">
        <f t="shared" si="12"/>
        <v>8.7099999999999849</v>
      </c>
      <c r="C84" s="35" t="s">
        <v>193</v>
      </c>
      <c r="D84" s="103" t="s">
        <v>17</v>
      </c>
      <c r="E84" s="115">
        <v>1</v>
      </c>
      <c r="F84" s="114">
        <v>5172350.4000000004</v>
      </c>
      <c r="G84" s="27">
        <f t="shared" si="16"/>
        <v>5172350.4000000004</v>
      </c>
      <c r="H84" s="111"/>
      <c r="I84" s="111">
        <f t="shared" si="10"/>
        <v>0</v>
      </c>
      <c r="J84" s="112">
        <f t="shared" si="11"/>
        <v>5172350.4000000004</v>
      </c>
    </row>
    <row r="85" spans="2:10" s="108" customFormat="1" x14ac:dyDescent="0.2">
      <c r="B85" s="109">
        <f t="shared" si="12"/>
        <v>8.7199999999999847</v>
      </c>
      <c r="C85" s="35" t="s">
        <v>194</v>
      </c>
      <c r="D85" s="103" t="s">
        <v>17</v>
      </c>
      <c r="E85" s="115">
        <v>1</v>
      </c>
      <c r="F85" s="114">
        <v>3068200</v>
      </c>
      <c r="G85" s="27">
        <f t="shared" si="16"/>
        <v>3068200</v>
      </c>
      <c r="H85" s="111">
        <f>(163400+860000)*1.051</f>
        <v>1075593.3999999999</v>
      </c>
      <c r="I85" s="111">
        <f t="shared" si="10"/>
        <v>1075593.3999999999</v>
      </c>
      <c r="J85" s="112">
        <f t="shared" si="11"/>
        <v>4143793.4</v>
      </c>
    </row>
    <row r="86" spans="2:10" s="108" customFormat="1" x14ac:dyDescent="0.2">
      <c r="B86" s="109">
        <f t="shared" si="12"/>
        <v>8.7299999999999844</v>
      </c>
      <c r="C86" s="35" t="s">
        <v>195</v>
      </c>
      <c r="D86" s="103" t="s">
        <v>17</v>
      </c>
      <c r="E86" s="115">
        <v>1</v>
      </c>
      <c r="F86" s="110">
        <v>2229435</v>
      </c>
      <c r="G86" s="27">
        <f t="shared" si="16"/>
        <v>2229435</v>
      </c>
      <c r="H86" s="111"/>
      <c r="I86" s="111">
        <f t="shared" si="10"/>
        <v>0</v>
      </c>
      <c r="J86" s="112">
        <f t="shared" si="11"/>
        <v>2229435</v>
      </c>
    </row>
    <row r="87" spans="2:10" s="108" customFormat="1" x14ac:dyDescent="0.2">
      <c r="B87" s="109"/>
      <c r="C87" s="34" t="s">
        <v>38</v>
      </c>
      <c r="D87" s="78" t="s">
        <v>17</v>
      </c>
      <c r="E87" s="26">
        <v>192</v>
      </c>
      <c r="F87" s="27">
        <v>7418.4565171643308</v>
      </c>
      <c r="G87" s="27">
        <f t="shared" si="16"/>
        <v>1424343.6512955516</v>
      </c>
      <c r="H87" s="28">
        <v>2017.5034107997981</v>
      </c>
      <c r="I87" s="28">
        <f t="shared" si="10"/>
        <v>387360.65487356123</v>
      </c>
      <c r="J87" s="29">
        <f t="shared" si="11"/>
        <v>1811704.3061691127</v>
      </c>
    </row>
    <row r="88" spans="2:10" s="108" customFormat="1" x14ac:dyDescent="0.2">
      <c r="B88" s="109">
        <f>B86+0.01</f>
        <v>8.7399999999999842</v>
      </c>
      <c r="C88" s="36" t="s">
        <v>41</v>
      </c>
      <c r="D88" s="25" t="s">
        <v>17</v>
      </c>
      <c r="E88" s="26">
        <v>384</v>
      </c>
      <c r="F88" s="27">
        <v>7441</v>
      </c>
      <c r="G88" s="27">
        <f t="shared" si="16"/>
        <v>2857344</v>
      </c>
      <c r="H88" s="28">
        <f>43397+2117</f>
        <v>45514</v>
      </c>
      <c r="I88" s="28">
        <f t="shared" si="10"/>
        <v>17477376</v>
      </c>
      <c r="J88" s="29">
        <f t="shared" si="11"/>
        <v>20334720</v>
      </c>
    </row>
    <row r="89" spans="2:10" s="108" customFormat="1" x14ac:dyDescent="0.2">
      <c r="B89" s="109">
        <f t="shared" si="12"/>
        <v>8.749999999999984</v>
      </c>
      <c r="C89" s="31" t="s">
        <v>42</v>
      </c>
      <c r="D89" s="78" t="s">
        <v>43</v>
      </c>
      <c r="E89" s="26">
        <v>2</v>
      </c>
      <c r="F89" s="27">
        <v>2977793.9000000004</v>
      </c>
      <c r="G89" s="27">
        <f t="shared" si="16"/>
        <v>5955587.8000000007</v>
      </c>
      <c r="H89" s="66"/>
      <c r="I89" s="66">
        <f t="shared" si="10"/>
        <v>0</v>
      </c>
      <c r="J89" s="29">
        <f t="shared" si="11"/>
        <v>5955587.8000000007</v>
      </c>
    </row>
    <row r="90" spans="2:10" s="108" customFormat="1" ht="25.5" x14ac:dyDescent="0.2">
      <c r="B90" s="109">
        <f t="shared" si="12"/>
        <v>8.7599999999999838</v>
      </c>
      <c r="C90" s="35" t="s">
        <v>196</v>
      </c>
      <c r="D90" s="103" t="s">
        <v>197</v>
      </c>
      <c r="E90" s="115">
        <v>2</v>
      </c>
      <c r="F90" s="114"/>
      <c r="G90" s="27">
        <f t="shared" si="16"/>
        <v>0</v>
      </c>
      <c r="H90" s="111">
        <v>18750000</v>
      </c>
      <c r="I90" s="111">
        <f>E90*H90</f>
        <v>37500000</v>
      </c>
      <c r="J90" s="112">
        <f>G90+I90</f>
        <v>37500000</v>
      </c>
    </row>
    <row r="91" spans="2:10" s="108" customFormat="1" ht="13.5" thickBot="1" x14ac:dyDescent="0.25">
      <c r="B91" s="109">
        <f t="shared" si="12"/>
        <v>8.7699999999999836</v>
      </c>
      <c r="C91" s="118" t="s">
        <v>44</v>
      </c>
      <c r="D91" s="119" t="s">
        <v>197</v>
      </c>
      <c r="E91" s="166">
        <v>2</v>
      </c>
      <c r="F91" s="120">
        <v>9000000</v>
      </c>
      <c r="G91" s="40">
        <f t="shared" si="16"/>
        <v>18000000</v>
      </c>
      <c r="H91" s="121"/>
      <c r="I91" s="121">
        <f>E91*H91</f>
        <v>0</v>
      </c>
      <c r="J91" s="122">
        <f>G91+I91</f>
        <v>18000000</v>
      </c>
    </row>
    <row r="92" spans="2:10" s="123" customFormat="1" ht="13.5" thickBot="1" x14ac:dyDescent="0.25">
      <c r="E92" s="174"/>
    </row>
    <row r="93" spans="2:10" s="123" customFormat="1" ht="15.75" x14ac:dyDescent="0.2">
      <c r="E93" s="174"/>
      <c r="F93" s="44"/>
      <c r="G93" s="45"/>
      <c r="H93" s="46" t="s">
        <v>45</v>
      </c>
      <c r="I93" s="47"/>
      <c r="J93" s="48">
        <f>SUM(J10:J91)</f>
        <v>3352522807.8840418</v>
      </c>
    </row>
    <row r="94" spans="2:10" s="123" customFormat="1" x14ac:dyDescent="0.2">
      <c r="E94" s="124"/>
      <c r="F94" s="49" t="s">
        <v>46</v>
      </c>
      <c r="G94" s="50"/>
      <c r="H94" s="51"/>
      <c r="I94" s="52">
        <v>0.2</v>
      </c>
      <c r="J94" s="29">
        <f>J93*I94</f>
        <v>670504561.57680845</v>
      </c>
    </row>
    <row r="95" spans="2:10" s="123" customFormat="1" x14ac:dyDescent="0.2">
      <c r="E95" s="124"/>
      <c r="F95" s="49" t="s">
        <v>47</v>
      </c>
      <c r="G95" s="50"/>
      <c r="H95" s="51"/>
      <c r="I95" s="52">
        <v>0.04</v>
      </c>
      <c r="J95" s="29">
        <f>J93*I95</f>
        <v>134100912.31536168</v>
      </c>
    </row>
    <row r="96" spans="2:10" s="123" customFormat="1" x14ac:dyDescent="0.2">
      <c r="E96" s="124"/>
      <c r="F96" s="49" t="s">
        <v>48</v>
      </c>
      <c r="G96" s="50"/>
      <c r="H96" s="51"/>
      <c r="I96" s="52">
        <v>0.04</v>
      </c>
      <c r="J96" s="29">
        <f>J93*I96</f>
        <v>134100912.31536168</v>
      </c>
    </row>
    <row r="97" spans="5:10" s="123" customFormat="1" x14ac:dyDescent="0.2">
      <c r="E97" s="124"/>
      <c r="F97" s="49" t="s">
        <v>49</v>
      </c>
      <c r="G97" s="50"/>
      <c r="H97" s="51"/>
      <c r="I97" s="53"/>
      <c r="J97" s="29"/>
    </row>
    <row r="98" spans="5:10" s="123" customFormat="1" x14ac:dyDescent="0.2">
      <c r="E98" s="124"/>
      <c r="F98" s="49" t="s">
        <v>50</v>
      </c>
      <c r="G98" s="50"/>
      <c r="H98" s="51"/>
      <c r="I98" s="52">
        <v>0.19</v>
      </c>
      <c r="J98" s="29">
        <f>J96*I98</f>
        <v>25479173.339918718</v>
      </c>
    </row>
    <row r="99" spans="5:10" s="123" customFormat="1" x14ac:dyDescent="0.2">
      <c r="E99" s="124"/>
      <c r="F99" s="54"/>
      <c r="G99" s="50"/>
      <c r="H99" s="51"/>
      <c r="I99" s="55"/>
      <c r="J99" s="29"/>
    </row>
    <row r="100" spans="5:10" s="123" customFormat="1" ht="16.5" thickBot="1" x14ac:dyDescent="0.25">
      <c r="E100" s="124"/>
      <c r="F100" s="56"/>
      <c r="G100" s="57"/>
      <c r="H100" s="58" t="s">
        <v>51</v>
      </c>
      <c r="I100" s="41"/>
      <c r="J100" s="59">
        <f>SUM(J93:J98)</f>
        <v>4316708367.4314919</v>
      </c>
    </row>
    <row r="101" spans="5:10" s="123" customFormat="1" x14ac:dyDescent="0.2">
      <c r="E101" s="124"/>
    </row>
    <row r="102" spans="5:10" s="123" customFormat="1" x14ac:dyDescent="0.2">
      <c r="E102" s="124"/>
    </row>
    <row r="103" spans="5:10" s="123" customFormat="1" x14ac:dyDescent="0.2">
      <c r="E103" s="124"/>
    </row>
    <row r="104" spans="5:10" s="123" customFormat="1" x14ac:dyDescent="0.2">
      <c r="E104" s="124"/>
    </row>
    <row r="105" spans="5:10" s="123" customFormat="1" x14ac:dyDescent="0.2">
      <c r="E105" s="124"/>
    </row>
    <row r="106" spans="5:10" s="123" customFormat="1" x14ac:dyDescent="0.2">
      <c r="E106" s="124"/>
    </row>
    <row r="107" spans="5:10" s="123" customFormat="1" x14ac:dyDescent="0.2">
      <c r="E107" s="124"/>
    </row>
    <row r="108" spans="5:10" s="123" customFormat="1" x14ac:dyDescent="0.2">
      <c r="E108" s="124"/>
    </row>
    <row r="109" spans="5:10" s="123" customFormat="1" x14ac:dyDescent="0.2">
      <c r="E109" s="124"/>
    </row>
    <row r="110" spans="5:10" s="123" customFormat="1" x14ac:dyDescent="0.2">
      <c r="E110" s="124"/>
    </row>
    <row r="111" spans="5:10" s="123" customFormat="1" x14ac:dyDescent="0.2">
      <c r="E111" s="124"/>
    </row>
    <row r="112" spans="5:10" s="123" customFormat="1" x14ac:dyDescent="0.2">
      <c r="E112" s="124"/>
    </row>
    <row r="113" spans="5:5" s="123" customFormat="1" x14ac:dyDescent="0.2">
      <c r="E113" s="124"/>
    </row>
    <row r="114" spans="5:5" s="123" customFormat="1" x14ac:dyDescent="0.2">
      <c r="E114" s="124"/>
    </row>
    <row r="115" spans="5:5" s="123" customFormat="1" x14ac:dyDescent="0.2">
      <c r="E115" s="124"/>
    </row>
    <row r="116" spans="5:5" s="123" customFormat="1" x14ac:dyDescent="0.2">
      <c r="E116" s="124"/>
    </row>
    <row r="117" spans="5:5" s="123" customFormat="1" x14ac:dyDescent="0.2">
      <c r="E117" s="124"/>
    </row>
    <row r="118" spans="5:5" s="123" customFormat="1" x14ac:dyDescent="0.2">
      <c r="E118" s="124"/>
    </row>
    <row r="119" spans="5:5" s="123" customFormat="1" x14ac:dyDescent="0.2">
      <c r="E119" s="124"/>
    </row>
    <row r="120" spans="5:5" s="123" customFormat="1" x14ac:dyDescent="0.2">
      <c r="E120" s="124"/>
    </row>
    <row r="121" spans="5:5" s="123" customFormat="1" x14ac:dyDescent="0.2">
      <c r="E121" s="124"/>
    </row>
    <row r="122" spans="5:5" s="123" customFormat="1" x14ac:dyDescent="0.2">
      <c r="E122" s="124"/>
    </row>
    <row r="123" spans="5:5" s="123" customFormat="1" x14ac:dyDescent="0.2">
      <c r="E123" s="124"/>
    </row>
    <row r="124" spans="5:5" s="123" customFormat="1" x14ac:dyDescent="0.2">
      <c r="E124" s="124"/>
    </row>
    <row r="125" spans="5:5" s="123" customFormat="1" x14ac:dyDescent="0.2">
      <c r="E125" s="124"/>
    </row>
    <row r="126" spans="5:5" s="123" customFormat="1" x14ac:dyDescent="0.2">
      <c r="E126" s="124"/>
    </row>
    <row r="127" spans="5:5" s="123" customFormat="1" x14ac:dyDescent="0.2">
      <c r="E127" s="124"/>
    </row>
    <row r="128" spans="5:5" s="123" customFormat="1" x14ac:dyDescent="0.2">
      <c r="E128" s="124"/>
    </row>
    <row r="129" spans="5:5" s="123" customFormat="1" x14ac:dyDescent="0.2">
      <c r="E129" s="124"/>
    </row>
    <row r="130" spans="5:5" s="123" customFormat="1" x14ac:dyDescent="0.2">
      <c r="E130" s="124"/>
    </row>
    <row r="131" spans="5:5" s="123" customFormat="1" x14ac:dyDescent="0.2">
      <c r="E131" s="124"/>
    </row>
    <row r="132" spans="5:5" s="123" customFormat="1" x14ac:dyDescent="0.2">
      <c r="E132" s="124"/>
    </row>
    <row r="133" spans="5:5" s="123" customFormat="1" x14ac:dyDescent="0.2">
      <c r="E133" s="124"/>
    </row>
    <row r="134" spans="5:5" s="123" customFormat="1" x14ac:dyDescent="0.2">
      <c r="E134" s="124"/>
    </row>
    <row r="135" spans="5:5" s="123" customFormat="1" x14ac:dyDescent="0.2">
      <c r="E135" s="124"/>
    </row>
    <row r="136" spans="5:5" s="123" customFormat="1" x14ac:dyDescent="0.2">
      <c r="E136" s="124"/>
    </row>
    <row r="137" spans="5:5" s="123" customFormat="1" x14ac:dyDescent="0.2">
      <c r="E137" s="124"/>
    </row>
    <row r="138" spans="5:5" s="123" customFormat="1" x14ac:dyDescent="0.2">
      <c r="E138" s="124"/>
    </row>
    <row r="139" spans="5:5" s="123" customFormat="1" x14ac:dyDescent="0.2">
      <c r="E139" s="124"/>
    </row>
    <row r="140" spans="5:5" s="123" customFormat="1" x14ac:dyDescent="0.2">
      <c r="E140" s="124"/>
    </row>
    <row r="141" spans="5:5" s="123" customFormat="1" x14ac:dyDescent="0.2">
      <c r="E141" s="124"/>
    </row>
    <row r="142" spans="5:5" s="123" customFormat="1" x14ac:dyDescent="0.2">
      <c r="E142" s="124"/>
    </row>
    <row r="143" spans="5:5" s="123" customFormat="1" x14ac:dyDescent="0.2">
      <c r="E143" s="124"/>
    </row>
    <row r="144" spans="5:5" s="123" customFormat="1" x14ac:dyDescent="0.2">
      <c r="E144" s="124"/>
    </row>
    <row r="145" spans="5:5" s="123" customFormat="1" x14ac:dyDescent="0.2">
      <c r="E145" s="124"/>
    </row>
    <row r="146" spans="5:5" s="123" customFormat="1" x14ac:dyDescent="0.2">
      <c r="E146" s="124"/>
    </row>
    <row r="147" spans="5:5" s="123" customFormat="1" x14ac:dyDescent="0.2">
      <c r="E147" s="124"/>
    </row>
    <row r="148" spans="5:5" s="123" customFormat="1" x14ac:dyDescent="0.2">
      <c r="E148" s="124"/>
    </row>
    <row r="149" spans="5:5" s="123" customFormat="1" x14ac:dyDescent="0.2">
      <c r="E149" s="124"/>
    </row>
    <row r="150" spans="5:5" s="123" customFormat="1" x14ac:dyDescent="0.2">
      <c r="E150" s="124"/>
    </row>
    <row r="151" spans="5:5" s="123" customFormat="1" x14ac:dyDescent="0.2">
      <c r="E151" s="124"/>
    </row>
    <row r="152" spans="5:5" s="123" customFormat="1" x14ac:dyDescent="0.2">
      <c r="E152" s="124"/>
    </row>
    <row r="153" spans="5:5" s="123" customFormat="1" x14ac:dyDescent="0.2">
      <c r="E153" s="124"/>
    </row>
    <row r="154" spans="5:5" s="123" customFormat="1" x14ac:dyDescent="0.2">
      <c r="E154" s="124"/>
    </row>
    <row r="155" spans="5:5" s="123" customFormat="1" x14ac:dyDescent="0.2">
      <c r="E155" s="124"/>
    </row>
    <row r="156" spans="5:5" s="123" customFormat="1" x14ac:dyDescent="0.2">
      <c r="E156" s="124"/>
    </row>
    <row r="157" spans="5:5" s="123" customFormat="1" x14ac:dyDescent="0.2">
      <c r="E157" s="124"/>
    </row>
    <row r="158" spans="5:5" s="123" customFormat="1" x14ac:dyDescent="0.2">
      <c r="E158" s="124"/>
    </row>
    <row r="159" spans="5:5" s="123" customFormat="1" x14ac:dyDescent="0.2">
      <c r="E159" s="124"/>
    </row>
    <row r="160" spans="5:5" s="123" customFormat="1" x14ac:dyDescent="0.2">
      <c r="E160" s="124"/>
    </row>
    <row r="161" spans="5:5" s="123" customFormat="1" x14ac:dyDescent="0.2">
      <c r="E161" s="124"/>
    </row>
    <row r="162" spans="5:5" s="123" customFormat="1" x14ac:dyDescent="0.2">
      <c r="E162" s="124"/>
    </row>
    <row r="163" spans="5:5" s="123" customFormat="1" x14ac:dyDescent="0.2">
      <c r="E163" s="124"/>
    </row>
    <row r="164" spans="5:5" s="123" customFormat="1" x14ac:dyDescent="0.2">
      <c r="E164" s="124"/>
    </row>
    <row r="165" spans="5:5" s="123" customFormat="1" x14ac:dyDescent="0.2">
      <c r="E165" s="124"/>
    </row>
    <row r="166" spans="5:5" s="123" customFormat="1" x14ac:dyDescent="0.2">
      <c r="E166" s="124"/>
    </row>
    <row r="167" spans="5:5" s="123" customFormat="1" x14ac:dyDescent="0.2">
      <c r="E167" s="124"/>
    </row>
    <row r="168" spans="5:5" s="123" customFormat="1" x14ac:dyDescent="0.2">
      <c r="E168" s="124"/>
    </row>
    <row r="169" spans="5:5" s="123" customFormat="1" x14ac:dyDescent="0.2">
      <c r="E169" s="124"/>
    </row>
    <row r="170" spans="5:5" s="123" customFormat="1" x14ac:dyDescent="0.2">
      <c r="E170" s="124"/>
    </row>
    <row r="171" spans="5:5" s="123" customFormat="1" x14ac:dyDescent="0.2">
      <c r="E171" s="124"/>
    </row>
    <row r="172" spans="5:5" s="123" customFormat="1" x14ac:dyDescent="0.2">
      <c r="E172" s="124"/>
    </row>
    <row r="173" spans="5:5" s="123" customFormat="1" x14ac:dyDescent="0.2">
      <c r="E173" s="124"/>
    </row>
    <row r="174" spans="5:5" s="123" customFormat="1" x14ac:dyDescent="0.2">
      <c r="E174" s="124"/>
    </row>
    <row r="175" spans="5:5" s="123" customFormat="1" x14ac:dyDescent="0.2">
      <c r="E175" s="124"/>
    </row>
    <row r="176" spans="5:5" s="123" customFormat="1" x14ac:dyDescent="0.2">
      <c r="E176" s="124"/>
    </row>
    <row r="177" spans="5:5" s="123" customFormat="1" x14ac:dyDescent="0.2">
      <c r="E177" s="124"/>
    </row>
    <row r="178" spans="5:5" s="123" customFormat="1" x14ac:dyDescent="0.2">
      <c r="E178" s="124"/>
    </row>
    <row r="179" spans="5:5" s="123" customFormat="1" x14ac:dyDescent="0.2">
      <c r="E179" s="124"/>
    </row>
    <row r="180" spans="5:5" s="123" customFormat="1" x14ac:dyDescent="0.2">
      <c r="E180" s="124"/>
    </row>
    <row r="181" spans="5:5" s="123" customFormat="1" x14ac:dyDescent="0.2">
      <c r="E181" s="124"/>
    </row>
    <row r="182" spans="5:5" s="123" customFormat="1" x14ac:dyDescent="0.2">
      <c r="E182" s="124"/>
    </row>
    <row r="183" spans="5:5" s="123" customFormat="1" x14ac:dyDescent="0.2">
      <c r="E183" s="124"/>
    </row>
    <row r="184" spans="5:5" s="123" customFormat="1" x14ac:dyDescent="0.2">
      <c r="E184" s="124"/>
    </row>
    <row r="185" spans="5:5" s="123" customFormat="1" x14ac:dyDescent="0.2">
      <c r="E185" s="124"/>
    </row>
    <row r="186" spans="5:5" s="123" customFormat="1" x14ac:dyDescent="0.2">
      <c r="E186" s="124"/>
    </row>
    <row r="187" spans="5:5" s="123" customFormat="1" x14ac:dyDescent="0.2">
      <c r="E187" s="124"/>
    </row>
    <row r="188" spans="5:5" s="123" customFormat="1" x14ac:dyDescent="0.2">
      <c r="E188" s="124"/>
    </row>
    <row r="189" spans="5:5" s="123" customFormat="1" x14ac:dyDescent="0.2">
      <c r="E189" s="124"/>
    </row>
    <row r="190" spans="5:5" s="123" customFormat="1" x14ac:dyDescent="0.2">
      <c r="E190" s="124"/>
    </row>
    <row r="191" spans="5:5" s="123" customFormat="1" x14ac:dyDescent="0.2">
      <c r="E191" s="124"/>
    </row>
    <row r="192" spans="5:5" s="123" customFormat="1" x14ac:dyDescent="0.2">
      <c r="E192" s="124"/>
    </row>
    <row r="193" spans="5:5" s="123" customFormat="1" x14ac:dyDescent="0.2">
      <c r="E193" s="124"/>
    </row>
  </sheetData>
  <mergeCells count="4">
    <mergeCell ref="H6:I6"/>
    <mergeCell ref="B7:B8"/>
    <mergeCell ref="C7:C8"/>
    <mergeCell ref="F6:G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F405E-CABF-44AB-9652-4A09D60170B6}">
  <sheetPr>
    <tabColor rgb="FF92D050"/>
  </sheetPr>
  <dimension ref="B1:J89"/>
  <sheetViews>
    <sheetView zoomScale="110" zoomScaleNormal="110" workbookViewId="0"/>
  </sheetViews>
  <sheetFormatPr baseColWidth="10" defaultColWidth="12.625" defaultRowHeight="12.75" x14ac:dyDescent="0.2"/>
  <cols>
    <col min="1" max="1" width="5.25" style="30" customWidth="1"/>
    <col min="2" max="2" width="6.125" style="64" customWidth="1"/>
    <col min="3" max="3" width="61.625" style="30" customWidth="1"/>
    <col min="4" max="4" width="9.625" style="30" customWidth="1"/>
    <col min="5" max="5" width="9" style="62" customWidth="1"/>
    <col min="6" max="7" width="11.625" style="63" customWidth="1"/>
    <col min="8" max="9" width="11.625" style="62" customWidth="1"/>
    <col min="10" max="10" width="11.625" style="30" customWidth="1"/>
    <col min="11" max="16384" width="12.625" style="30"/>
  </cols>
  <sheetData>
    <row r="1" spans="2:10" s="2" customFormat="1" ht="15" x14ac:dyDescent="0.2">
      <c r="B1" s="8"/>
      <c r="E1" s="4"/>
      <c r="F1" s="5"/>
      <c r="G1" s="5"/>
      <c r="H1" s="4"/>
      <c r="I1" s="4"/>
    </row>
    <row r="2" spans="2:10" s="2" customFormat="1" ht="15.75" x14ac:dyDescent="0.25">
      <c r="B2" s="1" t="s">
        <v>0</v>
      </c>
      <c r="D2" s="3"/>
      <c r="E2" s="4"/>
      <c r="F2" s="5"/>
      <c r="G2" s="5"/>
      <c r="H2" s="4"/>
      <c r="I2" s="4"/>
    </row>
    <row r="3" spans="2:10" s="2" customFormat="1" ht="15.75" x14ac:dyDescent="0.25">
      <c r="B3" s="1" t="s">
        <v>1</v>
      </c>
      <c r="C3" s="5"/>
      <c r="D3" s="6" t="s">
        <v>2</v>
      </c>
      <c r="E3" s="4"/>
      <c r="F3" s="5"/>
      <c r="G3" s="5"/>
      <c r="H3" s="7"/>
      <c r="I3" s="4"/>
    </row>
    <row r="4" spans="2:10" s="2" customFormat="1" ht="15.75" x14ac:dyDescent="0.25">
      <c r="B4" s="1" t="s">
        <v>361</v>
      </c>
      <c r="D4" s="3"/>
      <c r="E4" s="4"/>
      <c r="F4" s="5"/>
      <c r="G4" s="5"/>
      <c r="H4" s="4"/>
      <c r="I4" s="4"/>
    </row>
    <row r="5" spans="2:10" s="2" customFormat="1" ht="15.75" thickBot="1" x14ac:dyDescent="0.25">
      <c r="B5" s="8"/>
      <c r="E5" s="4"/>
      <c r="F5" s="5"/>
      <c r="G5" s="5"/>
      <c r="H5" s="4"/>
      <c r="I5" s="4"/>
    </row>
    <row r="6" spans="2:10" s="14" customFormat="1" ht="54.95" customHeight="1" x14ac:dyDescent="0.25">
      <c r="B6" s="11" t="s">
        <v>3</v>
      </c>
      <c r="C6" s="12" t="s">
        <v>4</v>
      </c>
      <c r="D6" s="12" t="s">
        <v>5</v>
      </c>
      <c r="E6" s="12" t="s">
        <v>6</v>
      </c>
      <c r="F6" s="400" t="s">
        <v>7</v>
      </c>
      <c r="G6" s="400"/>
      <c r="H6" s="401" t="s">
        <v>8</v>
      </c>
      <c r="I6" s="401"/>
      <c r="J6" s="129" t="s">
        <v>9</v>
      </c>
    </row>
    <row r="7" spans="2:10" s="19" customFormat="1" ht="27.75" customHeight="1" x14ac:dyDescent="0.2">
      <c r="B7" s="402">
        <v>9</v>
      </c>
      <c r="C7" s="404" t="s">
        <v>367</v>
      </c>
      <c r="D7" s="15"/>
      <c r="E7" s="16"/>
      <c r="F7" s="17" t="s">
        <v>11</v>
      </c>
      <c r="G7" s="17" t="s">
        <v>12</v>
      </c>
      <c r="H7" s="17" t="s">
        <v>11</v>
      </c>
      <c r="I7" s="17" t="s">
        <v>13</v>
      </c>
      <c r="J7" s="18" t="s">
        <v>14</v>
      </c>
    </row>
    <row r="8" spans="2:10" s="19" customFormat="1" ht="27.75" customHeight="1" x14ac:dyDescent="0.2">
      <c r="B8" s="403"/>
      <c r="C8" s="405"/>
      <c r="D8" s="20"/>
      <c r="E8" s="169" t="s">
        <v>14</v>
      </c>
      <c r="F8" s="21" t="s">
        <v>15</v>
      </c>
      <c r="G8" s="21" t="s">
        <v>15</v>
      </c>
      <c r="H8" s="21" t="s">
        <v>15</v>
      </c>
      <c r="I8" s="21" t="s">
        <v>15</v>
      </c>
      <c r="J8" s="22" t="s">
        <v>15</v>
      </c>
    </row>
    <row r="9" spans="2:10" x14ac:dyDescent="0.2">
      <c r="B9" s="130"/>
      <c r="C9" s="131" t="s">
        <v>198</v>
      </c>
      <c r="D9" s="86"/>
      <c r="E9" s="26"/>
      <c r="F9" s="32"/>
      <c r="G9" s="27"/>
      <c r="H9" s="132"/>
      <c r="I9" s="132"/>
      <c r="J9" s="100"/>
    </row>
    <row r="10" spans="2:10" x14ac:dyDescent="0.2">
      <c r="B10" s="23">
        <f>B7+0.01</f>
        <v>9.01</v>
      </c>
      <c r="C10" s="133" t="s">
        <v>199</v>
      </c>
      <c r="D10" s="86" t="s">
        <v>17</v>
      </c>
      <c r="E10" s="26">
        <v>2</v>
      </c>
      <c r="F10" s="32">
        <v>120311790</v>
      </c>
      <c r="G10" s="27">
        <f>E10*F10</f>
        <v>240623580</v>
      </c>
      <c r="H10" s="28">
        <v>0</v>
      </c>
      <c r="I10" s="28">
        <f>E10*H10</f>
        <v>0</v>
      </c>
      <c r="J10" s="29">
        <f t="shared" ref="J10:J28" si="0">G10+I10</f>
        <v>240623580</v>
      </c>
    </row>
    <row r="11" spans="2:10" x14ac:dyDescent="0.2">
      <c r="B11" s="130">
        <f t="shared" ref="B11:B74" si="1">B10+0.01</f>
        <v>9.02</v>
      </c>
      <c r="C11" s="133" t="s">
        <v>200</v>
      </c>
      <c r="D11" s="86" t="s">
        <v>17</v>
      </c>
      <c r="E11" s="26">
        <v>2</v>
      </c>
      <c r="F11" s="32">
        <v>0</v>
      </c>
      <c r="G11" s="27">
        <f t="shared" ref="G11:G74" si="2">E11*F11</f>
        <v>0</v>
      </c>
      <c r="H11" s="28">
        <v>0</v>
      </c>
      <c r="I11" s="28">
        <f t="shared" ref="I11:I74" si="3">E11*H11</f>
        <v>0</v>
      </c>
      <c r="J11" s="29">
        <f t="shared" si="0"/>
        <v>0</v>
      </c>
    </row>
    <row r="12" spans="2:10" x14ac:dyDescent="0.2">
      <c r="B12" s="130">
        <f t="shared" si="1"/>
        <v>9.0299999999999994</v>
      </c>
      <c r="C12" s="133" t="s">
        <v>201</v>
      </c>
      <c r="D12" s="86" t="s">
        <v>17</v>
      </c>
      <c r="E12" s="26">
        <v>2</v>
      </c>
      <c r="F12" s="32">
        <v>39686505</v>
      </c>
      <c r="G12" s="27">
        <f t="shared" si="2"/>
        <v>79373010</v>
      </c>
      <c r="H12" s="28">
        <v>0</v>
      </c>
      <c r="I12" s="28">
        <f t="shared" si="3"/>
        <v>0</v>
      </c>
      <c r="J12" s="29">
        <f t="shared" si="0"/>
        <v>79373010</v>
      </c>
    </row>
    <row r="13" spans="2:10" x14ac:dyDescent="0.2">
      <c r="B13" s="130">
        <f t="shared" si="1"/>
        <v>9.0399999999999991</v>
      </c>
      <c r="C13" s="133" t="s">
        <v>202</v>
      </c>
      <c r="D13" s="86" t="s">
        <v>17</v>
      </c>
      <c r="E13" s="26">
        <v>2</v>
      </c>
      <c r="F13" s="32">
        <v>12892065</v>
      </c>
      <c r="G13" s="27">
        <f t="shared" si="2"/>
        <v>25784130</v>
      </c>
      <c r="H13" s="28">
        <v>0</v>
      </c>
      <c r="I13" s="28">
        <f t="shared" si="3"/>
        <v>0</v>
      </c>
      <c r="J13" s="29">
        <f t="shared" si="0"/>
        <v>25784130</v>
      </c>
    </row>
    <row r="14" spans="2:10" x14ac:dyDescent="0.2">
      <c r="B14" s="130">
        <f t="shared" si="1"/>
        <v>9.0499999999999989</v>
      </c>
      <c r="C14" s="133" t="s">
        <v>203</v>
      </c>
      <c r="D14" s="86" t="s">
        <v>17</v>
      </c>
      <c r="E14" s="26">
        <v>2</v>
      </c>
      <c r="F14" s="32">
        <v>4081567.5</v>
      </c>
      <c r="G14" s="27">
        <f t="shared" si="2"/>
        <v>8163135</v>
      </c>
      <c r="H14" s="28">
        <v>0</v>
      </c>
      <c r="I14" s="28">
        <f t="shared" si="3"/>
        <v>0</v>
      </c>
      <c r="J14" s="29">
        <f t="shared" si="0"/>
        <v>8163135</v>
      </c>
    </row>
    <row r="15" spans="2:10" x14ac:dyDescent="0.2">
      <c r="B15" s="130">
        <f t="shared" si="1"/>
        <v>9.0599999999999987</v>
      </c>
      <c r="C15" s="133" t="s">
        <v>204</v>
      </c>
      <c r="D15" s="86" t="s">
        <v>17</v>
      </c>
      <c r="E15" s="26">
        <v>2</v>
      </c>
      <c r="F15" s="32">
        <v>4081567.5</v>
      </c>
      <c r="G15" s="27">
        <f t="shared" si="2"/>
        <v>8163135</v>
      </c>
      <c r="H15" s="28">
        <v>0</v>
      </c>
      <c r="I15" s="28">
        <f t="shared" si="3"/>
        <v>0</v>
      </c>
      <c r="J15" s="29">
        <f t="shared" si="0"/>
        <v>8163135</v>
      </c>
    </row>
    <row r="16" spans="2:10" x14ac:dyDescent="0.2">
      <c r="B16" s="130">
        <f t="shared" si="1"/>
        <v>9.0699999999999985</v>
      </c>
      <c r="C16" s="133" t="s">
        <v>205</v>
      </c>
      <c r="D16" s="86" t="s">
        <v>17</v>
      </c>
      <c r="E16" s="26">
        <v>2</v>
      </c>
      <c r="F16" s="32">
        <v>0</v>
      </c>
      <c r="G16" s="27">
        <f t="shared" si="2"/>
        <v>0</v>
      </c>
      <c r="H16" s="28">
        <v>11176793.600000001</v>
      </c>
      <c r="I16" s="28">
        <f t="shared" si="3"/>
        <v>22353587.200000003</v>
      </c>
      <c r="J16" s="29">
        <f t="shared" si="0"/>
        <v>22353587.200000003</v>
      </c>
    </row>
    <row r="17" spans="2:10" ht="14.45" customHeight="1" x14ac:dyDescent="0.2">
      <c r="B17" s="23">
        <f t="shared" si="1"/>
        <v>9.0799999999999983</v>
      </c>
      <c r="C17" s="133" t="s">
        <v>206</v>
      </c>
      <c r="D17" s="86" t="s">
        <v>17</v>
      </c>
      <c r="E17" s="26">
        <v>4</v>
      </c>
      <c r="F17" s="32">
        <v>32391472.5</v>
      </c>
      <c r="G17" s="27">
        <f t="shared" si="2"/>
        <v>129565890</v>
      </c>
      <c r="H17" s="28">
        <v>0</v>
      </c>
      <c r="I17" s="28">
        <f t="shared" si="3"/>
        <v>0</v>
      </c>
      <c r="J17" s="29">
        <f t="shared" si="0"/>
        <v>129565890</v>
      </c>
    </row>
    <row r="18" spans="2:10" x14ac:dyDescent="0.2">
      <c r="B18" s="130">
        <f t="shared" si="1"/>
        <v>9.0899999999999981</v>
      </c>
      <c r="C18" s="134" t="s">
        <v>207</v>
      </c>
      <c r="D18" s="86" t="s">
        <v>17</v>
      </c>
      <c r="E18" s="26">
        <v>4</v>
      </c>
      <c r="F18" s="32">
        <v>0</v>
      </c>
      <c r="G18" s="27">
        <f t="shared" si="2"/>
        <v>0</v>
      </c>
      <c r="H18" s="28">
        <v>0</v>
      </c>
      <c r="I18" s="28">
        <f t="shared" si="3"/>
        <v>0</v>
      </c>
      <c r="J18" s="29">
        <f t="shared" si="0"/>
        <v>0</v>
      </c>
    </row>
    <row r="19" spans="2:10" x14ac:dyDescent="0.2">
      <c r="B19" s="23">
        <f t="shared" si="1"/>
        <v>9.0999999999999979</v>
      </c>
      <c r="C19" s="133" t="s">
        <v>208</v>
      </c>
      <c r="D19" s="86" t="s">
        <v>17</v>
      </c>
      <c r="E19" s="26">
        <v>2</v>
      </c>
      <c r="F19" s="32">
        <v>0</v>
      </c>
      <c r="G19" s="27">
        <f t="shared" si="2"/>
        <v>0</v>
      </c>
      <c r="H19" s="28">
        <v>12932236.800000001</v>
      </c>
      <c r="I19" s="28">
        <f t="shared" si="3"/>
        <v>25864473.600000001</v>
      </c>
      <c r="J19" s="29">
        <f t="shared" si="0"/>
        <v>25864473.600000001</v>
      </c>
    </row>
    <row r="20" spans="2:10" x14ac:dyDescent="0.2">
      <c r="B20" s="130">
        <f t="shared" si="1"/>
        <v>9.1099999999999977</v>
      </c>
      <c r="C20" s="133" t="s">
        <v>209</v>
      </c>
      <c r="D20" s="86" t="s">
        <v>17</v>
      </c>
      <c r="E20" s="26">
        <v>2</v>
      </c>
      <c r="F20" s="32">
        <v>21657990</v>
      </c>
      <c r="G20" s="27">
        <f t="shared" si="2"/>
        <v>43315980</v>
      </c>
      <c r="H20" s="28">
        <v>0</v>
      </c>
      <c r="I20" s="28">
        <f t="shared" si="3"/>
        <v>0</v>
      </c>
      <c r="J20" s="29">
        <f t="shared" si="0"/>
        <v>43315980</v>
      </c>
    </row>
    <row r="21" spans="2:10" x14ac:dyDescent="0.2">
      <c r="B21" s="130">
        <f t="shared" si="1"/>
        <v>9.1199999999999974</v>
      </c>
      <c r="C21" s="133" t="s">
        <v>210</v>
      </c>
      <c r="D21" s="86" t="s">
        <v>17</v>
      </c>
      <c r="E21" s="26">
        <v>2</v>
      </c>
      <c r="F21" s="32">
        <v>35619795</v>
      </c>
      <c r="G21" s="27">
        <f t="shared" si="2"/>
        <v>71239590</v>
      </c>
      <c r="H21" s="28">
        <v>0</v>
      </c>
      <c r="I21" s="28">
        <f t="shared" si="3"/>
        <v>0</v>
      </c>
      <c r="J21" s="29">
        <f t="shared" si="0"/>
        <v>71239590</v>
      </c>
    </row>
    <row r="22" spans="2:10" x14ac:dyDescent="0.2">
      <c r="B22" s="130">
        <f t="shared" si="1"/>
        <v>9.1299999999999972</v>
      </c>
      <c r="C22" s="133" t="s">
        <v>211</v>
      </c>
      <c r="D22" s="86" t="s">
        <v>17</v>
      </c>
      <c r="E22" s="26">
        <v>6</v>
      </c>
      <c r="F22" s="32">
        <v>0</v>
      </c>
      <c r="G22" s="27">
        <f t="shared" si="2"/>
        <v>0</v>
      </c>
      <c r="H22" s="28">
        <v>11176793.600000001</v>
      </c>
      <c r="I22" s="28">
        <f t="shared" si="3"/>
        <v>67060761.600000009</v>
      </c>
      <c r="J22" s="29">
        <f t="shared" si="0"/>
        <v>67060761.600000009</v>
      </c>
    </row>
    <row r="23" spans="2:10" x14ac:dyDescent="0.2">
      <c r="B23" s="130">
        <f t="shared" si="1"/>
        <v>9.139999999999997</v>
      </c>
      <c r="C23" s="133" t="s">
        <v>212</v>
      </c>
      <c r="D23" s="86" t="s">
        <v>17</v>
      </c>
      <c r="E23" s="26">
        <v>14</v>
      </c>
      <c r="F23" s="32">
        <v>1931475</v>
      </c>
      <c r="G23" s="27">
        <f t="shared" si="2"/>
        <v>27040650</v>
      </c>
      <c r="H23" s="28">
        <v>0</v>
      </c>
      <c r="I23" s="28">
        <f t="shared" si="3"/>
        <v>0</v>
      </c>
      <c r="J23" s="29">
        <f t="shared" si="0"/>
        <v>27040650</v>
      </c>
    </row>
    <row r="24" spans="2:10" x14ac:dyDescent="0.2">
      <c r="B24" s="130">
        <f t="shared" si="1"/>
        <v>9.1499999999999968</v>
      </c>
      <c r="C24" s="133" t="s">
        <v>213</v>
      </c>
      <c r="D24" s="86" t="s">
        <v>17</v>
      </c>
      <c r="E24" s="26">
        <v>2</v>
      </c>
      <c r="F24" s="32">
        <v>14611290</v>
      </c>
      <c r="G24" s="27">
        <f t="shared" si="2"/>
        <v>29222580</v>
      </c>
      <c r="H24" s="28">
        <v>0</v>
      </c>
      <c r="I24" s="28">
        <f t="shared" si="3"/>
        <v>0</v>
      </c>
      <c r="J24" s="29">
        <f t="shared" si="0"/>
        <v>29222580</v>
      </c>
    </row>
    <row r="25" spans="2:10" x14ac:dyDescent="0.2">
      <c r="B25" s="130">
        <f t="shared" si="1"/>
        <v>9.1599999999999966</v>
      </c>
      <c r="C25" s="133" t="s">
        <v>214</v>
      </c>
      <c r="D25" s="86" t="s">
        <v>17</v>
      </c>
      <c r="E25" s="26">
        <v>2</v>
      </c>
      <c r="F25" s="32">
        <v>54246855</v>
      </c>
      <c r="G25" s="27">
        <f t="shared" si="2"/>
        <v>108493710</v>
      </c>
      <c r="H25" s="28">
        <v>0</v>
      </c>
      <c r="I25" s="28">
        <f t="shared" si="3"/>
        <v>0</v>
      </c>
      <c r="J25" s="29">
        <f t="shared" si="0"/>
        <v>108493710</v>
      </c>
    </row>
    <row r="26" spans="2:10" x14ac:dyDescent="0.2">
      <c r="B26" s="130">
        <f t="shared" si="1"/>
        <v>9.1699999999999964</v>
      </c>
      <c r="C26" s="133" t="s">
        <v>215</v>
      </c>
      <c r="D26" s="86" t="s">
        <v>17</v>
      </c>
      <c r="E26" s="26">
        <v>2</v>
      </c>
      <c r="F26" s="32">
        <v>4225897.5</v>
      </c>
      <c r="G26" s="27">
        <f t="shared" si="2"/>
        <v>8451795</v>
      </c>
      <c r="H26" s="28">
        <v>0</v>
      </c>
      <c r="I26" s="28">
        <f t="shared" si="3"/>
        <v>0</v>
      </c>
      <c r="J26" s="29">
        <f t="shared" si="0"/>
        <v>8451795</v>
      </c>
    </row>
    <row r="27" spans="2:10" x14ac:dyDescent="0.2">
      <c r="B27" s="23">
        <f t="shared" si="1"/>
        <v>9.1799999999999962</v>
      </c>
      <c r="C27" s="133" t="s">
        <v>74</v>
      </c>
      <c r="D27" s="86" t="s">
        <v>17</v>
      </c>
      <c r="E27" s="26">
        <v>2</v>
      </c>
      <c r="F27" s="32">
        <v>20898135</v>
      </c>
      <c r="G27" s="27">
        <f t="shared" si="2"/>
        <v>41796270</v>
      </c>
      <c r="H27" s="28"/>
      <c r="I27" s="28">
        <f t="shared" si="3"/>
        <v>0</v>
      </c>
      <c r="J27" s="29">
        <f t="shared" si="0"/>
        <v>41796270</v>
      </c>
    </row>
    <row r="28" spans="2:10" x14ac:dyDescent="0.2">
      <c r="B28" s="130">
        <f t="shared" si="1"/>
        <v>9.1899999999999959</v>
      </c>
      <c r="C28" s="133" t="s">
        <v>216</v>
      </c>
      <c r="D28" s="86" t="s">
        <v>17</v>
      </c>
      <c r="E28" s="26">
        <v>2</v>
      </c>
      <c r="F28" s="32">
        <v>165031874.5</v>
      </c>
      <c r="G28" s="27">
        <f t="shared" si="2"/>
        <v>330063749</v>
      </c>
      <c r="H28" s="28">
        <v>3981600.0000000005</v>
      </c>
      <c r="I28" s="28">
        <f t="shared" si="3"/>
        <v>7963200.0000000009</v>
      </c>
      <c r="J28" s="29">
        <f t="shared" si="0"/>
        <v>338026949</v>
      </c>
    </row>
    <row r="29" spans="2:10" ht="12.75" customHeight="1" x14ac:dyDescent="0.2">
      <c r="B29" s="130"/>
      <c r="C29" s="135" t="s">
        <v>217</v>
      </c>
      <c r="D29" s="86"/>
      <c r="E29" s="26">
        <v>0</v>
      </c>
      <c r="F29" s="32"/>
      <c r="G29" s="27">
        <f t="shared" si="2"/>
        <v>0</v>
      </c>
      <c r="H29" s="28"/>
      <c r="I29" s="28">
        <f t="shared" si="3"/>
        <v>0</v>
      </c>
      <c r="J29" s="29"/>
    </row>
    <row r="30" spans="2:10" ht="63.75" x14ac:dyDescent="0.2">
      <c r="B30" s="23">
        <f>B28+0.01</f>
        <v>9.1999999999999957</v>
      </c>
      <c r="C30" s="133" t="s">
        <v>218</v>
      </c>
      <c r="D30" s="86" t="s">
        <v>17</v>
      </c>
      <c r="E30" s="26">
        <v>2</v>
      </c>
      <c r="F30" s="32"/>
      <c r="G30" s="27">
        <f t="shared" si="2"/>
        <v>0</v>
      </c>
      <c r="H30" s="28">
        <v>503930283.80800003</v>
      </c>
      <c r="I30" s="28">
        <f t="shared" si="3"/>
        <v>1007860567.6160001</v>
      </c>
      <c r="J30" s="29">
        <f t="shared" ref="J30:J61" si="4">G30+I30</f>
        <v>1007860567.6160001</v>
      </c>
    </row>
    <row r="31" spans="2:10" x14ac:dyDescent="0.2">
      <c r="B31" s="130">
        <f t="shared" si="1"/>
        <v>9.2099999999999955</v>
      </c>
      <c r="C31" s="133" t="s">
        <v>219</v>
      </c>
      <c r="D31" s="86" t="s">
        <v>17</v>
      </c>
      <c r="E31" s="26">
        <v>32</v>
      </c>
      <c r="F31" s="32"/>
      <c r="G31" s="27">
        <f t="shared" si="2"/>
        <v>0</v>
      </c>
      <c r="H31" s="28">
        <v>5442460.1000000006</v>
      </c>
      <c r="I31" s="28">
        <f t="shared" si="3"/>
        <v>174158723.20000002</v>
      </c>
      <c r="J31" s="29">
        <f t="shared" si="4"/>
        <v>174158723.20000002</v>
      </c>
    </row>
    <row r="32" spans="2:10" x14ac:dyDescent="0.2">
      <c r="B32" s="130">
        <f t="shared" si="1"/>
        <v>9.2199999999999953</v>
      </c>
      <c r="C32" s="133" t="s">
        <v>220</v>
      </c>
      <c r="D32" s="86" t="s">
        <v>17</v>
      </c>
      <c r="E32" s="26">
        <v>2</v>
      </c>
      <c r="F32" s="32"/>
      <c r="G32" s="27">
        <f t="shared" si="2"/>
        <v>0</v>
      </c>
      <c r="H32" s="28">
        <v>38320942.380000003</v>
      </c>
      <c r="I32" s="28">
        <f t="shared" si="3"/>
        <v>76641884.760000005</v>
      </c>
      <c r="J32" s="29">
        <f t="shared" si="4"/>
        <v>76641884.760000005</v>
      </c>
    </row>
    <row r="33" spans="2:10" x14ac:dyDescent="0.2">
      <c r="B33" s="130">
        <f t="shared" si="1"/>
        <v>9.2299999999999951</v>
      </c>
      <c r="C33" s="133" t="s">
        <v>221</v>
      </c>
      <c r="D33" s="86" t="s">
        <v>17</v>
      </c>
      <c r="E33" s="26">
        <v>2</v>
      </c>
      <c r="F33" s="32"/>
      <c r="G33" s="27">
        <f t="shared" si="2"/>
        <v>0</v>
      </c>
      <c r="H33" s="28">
        <v>16564009.000000002</v>
      </c>
      <c r="I33" s="28">
        <f t="shared" si="3"/>
        <v>33128018.000000004</v>
      </c>
      <c r="J33" s="29">
        <f t="shared" si="4"/>
        <v>33128018.000000004</v>
      </c>
    </row>
    <row r="34" spans="2:10" x14ac:dyDescent="0.2">
      <c r="B34" s="130">
        <f t="shared" si="1"/>
        <v>9.2399999999999949</v>
      </c>
      <c r="C34" s="133" t="s">
        <v>222</v>
      </c>
      <c r="D34" s="86" t="s">
        <v>17</v>
      </c>
      <c r="E34" s="26">
        <v>2</v>
      </c>
      <c r="F34" s="32"/>
      <c r="G34" s="27">
        <f t="shared" si="2"/>
        <v>0</v>
      </c>
      <c r="H34" s="28">
        <v>13990900.000000002</v>
      </c>
      <c r="I34" s="28">
        <f t="shared" si="3"/>
        <v>27981800.000000004</v>
      </c>
      <c r="J34" s="29">
        <f t="shared" si="4"/>
        <v>27981800.000000004</v>
      </c>
    </row>
    <row r="35" spans="2:10" x14ac:dyDescent="0.2">
      <c r="B35" s="130">
        <f t="shared" si="1"/>
        <v>9.2499999999999947</v>
      </c>
      <c r="C35" s="133" t="s">
        <v>223</v>
      </c>
      <c r="D35" s="86" t="s">
        <v>17</v>
      </c>
      <c r="E35" s="26">
        <v>2</v>
      </c>
      <c r="F35" s="32"/>
      <c r="G35" s="27">
        <f t="shared" si="2"/>
        <v>0</v>
      </c>
      <c r="H35" s="28">
        <v>11900560.000000002</v>
      </c>
      <c r="I35" s="28">
        <f t="shared" si="3"/>
        <v>23801120.000000004</v>
      </c>
      <c r="J35" s="29">
        <f t="shared" si="4"/>
        <v>23801120.000000004</v>
      </c>
    </row>
    <row r="36" spans="2:10" x14ac:dyDescent="0.2">
      <c r="B36" s="130">
        <f t="shared" si="1"/>
        <v>9.2599999999999945</v>
      </c>
      <c r="C36" s="133" t="s">
        <v>224</v>
      </c>
      <c r="D36" s="86" t="s">
        <v>17</v>
      </c>
      <c r="E36" s="26">
        <v>2</v>
      </c>
      <c r="F36" s="32"/>
      <c r="G36" s="27">
        <f t="shared" si="2"/>
        <v>0</v>
      </c>
      <c r="H36" s="28">
        <v>14134680.000000002</v>
      </c>
      <c r="I36" s="28">
        <f t="shared" si="3"/>
        <v>28269360.000000004</v>
      </c>
      <c r="J36" s="29">
        <f t="shared" si="4"/>
        <v>28269360.000000004</v>
      </c>
    </row>
    <row r="37" spans="2:10" x14ac:dyDescent="0.2">
      <c r="B37" s="130">
        <f t="shared" si="1"/>
        <v>9.2699999999999942</v>
      </c>
      <c r="C37" s="133" t="s">
        <v>172</v>
      </c>
      <c r="D37" s="86" t="s">
        <v>17</v>
      </c>
      <c r="E37" s="26">
        <v>2</v>
      </c>
      <c r="F37" s="32"/>
      <c r="G37" s="27">
        <f t="shared" si="2"/>
        <v>0</v>
      </c>
      <c r="H37" s="28">
        <v>1858080.0000000002</v>
      </c>
      <c r="I37" s="28">
        <f t="shared" si="3"/>
        <v>3716160.0000000005</v>
      </c>
      <c r="J37" s="29">
        <f t="shared" si="4"/>
        <v>3716160.0000000005</v>
      </c>
    </row>
    <row r="38" spans="2:10" x14ac:dyDescent="0.2">
      <c r="B38" s="23">
        <f t="shared" si="1"/>
        <v>9.279999999999994</v>
      </c>
      <c r="C38" s="133" t="s">
        <v>225</v>
      </c>
      <c r="D38" s="86" t="s">
        <v>17</v>
      </c>
      <c r="E38" s="26">
        <v>2</v>
      </c>
      <c r="F38" s="32"/>
      <c r="G38" s="27">
        <f t="shared" si="2"/>
        <v>0</v>
      </c>
      <c r="H38" s="28">
        <v>1378076.0000000002</v>
      </c>
      <c r="I38" s="28">
        <f t="shared" si="3"/>
        <v>2756152.0000000005</v>
      </c>
      <c r="J38" s="29">
        <f t="shared" si="4"/>
        <v>2756152.0000000005</v>
      </c>
    </row>
    <row r="39" spans="2:10" x14ac:dyDescent="0.2">
      <c r="B39" s="130">
        <f t="shared" si="1"/>
        <v>9.2899999999999938</v>
      </c>
      <c r="C39" s="133" t="s">
        <v>226</v>
      </c>
      <c r="D39" s="86" t="s">
        <v>17</v>
      </c>
      <c r="E39" s="26">
        <v>2</v>
      </c>
      <c r="F39" s="32"/>
      <c r="G39" s="27">
        <f t="shared" si="2"/>
        <v>0</v>
      </c>
      <c r="H39" s="28">
        <v>1526280.0000000002</v>
      </c>
      <c r="I39" s="28">
        <f t="shared" si="3"/>
        <v>3052560.0000000005</v>
      </c>
      <c r="J39" s="29">
        <f t="shared" si="4"/>
        <v>3052560.0000000005</v>
      </c>
    </row>
    <row r="40" spans="2:10" x14ac:dyDescent="0.2">
      <c r="B40" s="23">
        <f t="shared" si="1"/>
        <v>9.2999999999999936</v>
      </c>
      <c r="C40" s="133" t="s">
        <v>227</v>
      </c>
      <c r="D40" s="86" t="s">
        <v>17</v>
      </c>
      <c r="E40" s="26">
        <v>4</v>
      </c>
      <c r="F40" s="32"/>
      <c r="G40" s="27">
        <f t="shared" si="2"/>
        <v>0</v>
      </c>
      <c r="H40" s="28">
        <v>11834200.000000002</v>
      </c>
      <c r="I40" s="28">
        <f t="shared" si="3"/>
        <v>47336800.000000007</v>
      </c>
      <c r="J40" s="29">
        <f t="shared" si="4"/>
        <v>47336800.000000007</v>
      </c>
    </row>
    <row r="41" spans="2:10" x14ac:dyDescent="0.2">
      <c r="B41" s="130">
        <f t="shared" si="1"/>
        <v>9.3099999999999934</v>
      </c>
      <c r="C41" s="133" t="s">
        <v>228</v>
      </c>
      <c r="D41" s="86" t="s">
        <v>17</v>
      </c>
      <c r="E41" s="26">
        <v>2</v>
      </c>
      <c r="F41" s="32"/>
      <c r="G41" s="27">
        <f t="shared" si="2"/>
        <v>0</v>
      </c>
      <c r="H41" s="28">
        <v>12442500.000000002</v>
      </c>
      <c r="I41" s="28">
        <f t="shared" si="3"/>
        <v>24885000.000000004</v>
      </c>
      <c r="J41" s="29">
        <f t="shared" si="4"/>
        <v>24885000.000000004</v>
      </c>
    </row>
    <row r="42" spans="2:10" x14ac:dyDescent="0.2">
      <c r="B42" s="130">
        <f t="shared" si="1"/>
        <v>9.3199999999999932</v>
      </c>
      <c r="C42" s="133" t="s">
        <v>229</v>
      </c>
      <c r="D42" s="86" t="s">
        <v>17</v>
      </c>
      <c r="E42" s="26">
        <v>2</v>
      </c>
      <c r="F42" s="32"/>
      <c r="G42" s="27">
        <f t="shared" si="2"/>
        <v>0</v>
      </c>
      <c r="H42" s="28">
        <v>14988512.000000002</v>
      </c>
      <c r="I42" s="28">
        <f t="shared" si="3"/>
        <v>29977024.000000004</v>
      </c>
      <c r="J42" s="29">
        <f t="shared" si="4"/>
        <v>29977024.000000004</v>
      </c>
    </row>
    <row r="43" spans="2:10" x14ac:dyDescent="0.2">
      <c r="B43" s="130">
        <f t="shared" si="1"/>
        <v>9.329999999999993</v>
      </c>
      <c r="C43" s="133" t="s">
        <v>230</v>
      </c>
      <c r="D43" s="86" t="s">
        <v>17</v>
      </c>
      <c r="E43" s="26">
        <v>2</v>
      </c>
      <c r="F43" s="32"/>
      <c r="G43" s="27">
        <f t="shared" si="2"/>
        <v>0</v>
      </c>
      <c r="H43" s="28">
        <v>1415680.0000000002</v>
      </c>
      <c r="I43" s="28">
        <f t="shared" si="3"/>
        <v>2831360.0000000005</v>
      </c>
      <c r="J43" s="29">
        <f t="shared" si="4"/>
        <v>2831360.0000000005</v>
      </c>
    </row>
    <row r="44" spans="2:10" x14ac:dyDescent="0.2">
      <c r="B44" s="130">
        <f t="shared" si="1"/>
        <v>9.3399999999999928</v>
      </c>
      <c r="C44" s="133" t="s">
        <v>231</v>
      </c>
      <c r="D44" s="86" t="s">
        <v>17</v>
      </c>
      <c r="E44" s="26">
        <v>2</v>
      </c>
      <c r="F44" s="32"/>
      <c r="G44" s="27">
        <f t="shared" si="2"/>
        <v>0</v>
      </c>
      <c r="H44" s="28">
        <v>1415680.0000000002</v>
      </c>
      <c r="I44" s="28">
        <f t="shared" si="3"/>
        <v>2831360.0000000005</v>
      </c>
      <c r="J44" s="29">
        <f t="shared" si="4"/>
        <v>2831360.0000000005</v>
      </c>
    </row>
    <row r="45" spans="2:10" x14ac:dyDescent="0.2">
      <c r="B45" s="130">
        <f t="shared" si="1"/>
        <v>9.3499999999999925</v>
      </c>
      <c r="C45" s="133" t="s">
        <v>232</v>
      </c>
      <c r="D45" s="86" t="s">
        <v>17</v>
      </c>
      <c r="E45" s="26">
        <v>4</v>
      </c>
      <c r="F45" s="32"/>
      <c r="G45" s="27">
        <f t="shared" si="2"/>
        <v>0</v>
      </c>
      <c r="H45" s="28">
        <v>1968680.0000000002</v>
      </c>
      <c r="I45" s="28">
        <f t="shared" si="3"/>
        <v>7874720.0000000009</v>
      </c>
      <c r="J45" s="29">
        <f t="shared" si="4"/>
        <v>7874720.0000000009</v>
      </c>
    </row>
    <row r="46" spans="2:10" x14ac:dyDescent="0.2">
      <c r="B46" s="130">
        <f t="shared" si="1"/>
        <v>9.3599999999999923</v>
      </c>
      <c r="C46" s="133" t="s">
        <v>233</v>
      </c>
      <c r="D46" s="86" t="s">
        <v>17</v>
      </c>
      <c r="E46" s="26">
        <v>2</v>
      </c>
      <c r="F46" s="32"/>
      <c r="G46" s="27">
        <f t="shared" si="2"/>
        <v>0</v>
      </c>
      <c r="H46" s="28">
        <v>984340.00000000012</v>
      </c>
      <c r="I46" s="28">
        <f t="shared" si="3"/>
        <v>1968680.0000000002</v>
      </c>
      <c r="J46" s="29">
        <f t="shared" si="4"/>
        <v>1968680.0000000002</v>
      </c>
    </row>
    <row r="47" spans="2:10" x14ac:dyDescent="0.2">
      <c r="B47" s="130">
        <f t="shared" si="1"/>
        <v>9.3699999999999921</v>
      </c>
      <c r="C47" s="133" t="s">
        <v>211</v>
      </c>
      <c r="D47" s="86" t="s">
        <v>17</v>
      </c>
      <c r="E47" s="26">
        <v>2</v>
      </c>
      <c r="F47" s="32"/>
      <c r="G47" s="27">
        <f t="shared" si="2"/>
        <v>0</v>
      </c>
      <c r="H47" s="28">
        <v>1526280.0000000002</v>
      </c>
      <c r="I47" s="28">
        <f t="shared" si="3"/>
        <v>3052560.0000000005</v>
      </c>
      <c r="J47" s="29">
        <f t="shared" si="4"/>
        <v>3052560.0000000005</v>
      </c>
    </row>
    <row r="48" spans="2:10" x14ac:dyDescent="0.2">
      <c r="B48" s="23">
        <f t="shared" si="1"/>
        <v>9.3799999999999919</v>
      </c>
      <c r="C48" s="133" t="s">
        <v>234</v>
      </c>
      <c r="D48" s="86" t="s">
        <v>17</v>
      </c>
      <c r="E48" s="26">
        <v>2</v>
      </c>
      <c r="F48" s="32"/>
      <c r="G48" s="27">
        <f t="shared" si="2"/>
        <v>0</v>
      </c>
      <c r="H48" s="28">
        <v>984340.00000000012</v>
      </c>
      <c r="I48" s="28">
        <f t="shared" si="3"/>
        <v>1968680.0000000002</v>
      </c>
      <c r="J48" s="29">
        <f t="shared" si="4"/>
        <v>1968680.0000000002</v>
      </c>
    </row>
    <row r="49" spans="2:10" x14ac:dyDescent="0.2">
      <c r="B49" s="130">
        <f t="shared" si="1"/>
        <v>9.3899999999999917</v>
      </c>
      <c r="C49" s="133" t="s">
        <v>211</v>
      </c>
      <c r="D49" s="86" t="s">
        <v>17</v>
      </c>
      <c r="E49" s="26">
        <v>2</v>
      </c>
      <c r="F49" s="32"/>
      <c r="G49" s="27">
        <f t="shared" si="2"/>
        <v>0</v>
      </c>
      <c r="H49" s="28">
        <v>1769600.0000000002</v>
      </c>
      <c r="I49" s="28">
        <f t="shared" si="3"/>
        <v>3539200.0000000005</v>
      </c>
      <c r="J49" s="29">
        <f t="shared" si="4"/>
        <v>3539200.0000000005</v>
      </c>
    </row>
    <row r="50" spans="2:10" x14ac:dyDescent="0.2">
      <c r="B50" s="23">
        <f t="shared" si="1"/>
        <v>9.3999999999999915</v>
      </c>
      <c r="C50" s="133" t="s">
        <v>235</v>
      </c>
      <c r="D50" s="86" t="s">
        <v>17</v>
      </c>
      <c r="E50" s="26">
        <v>2</v>
      </c>
      <c r="F50" s="32"/>
      <c r="G50" s="27">
        <f t="shared" si="2"/>
        <v>0</v>
      </c>
      <c r="H50" s="28">
        <v>2632280</v>
      </c>
      <c r="I50" s="28">
        <f t="shared" si="3"/>
        <v>5264560</v>
      </c>
      <c r="J50" s="29">
        <f t="shared" si="4"/>
        <v>5264560</v>
      </c>
    </row>
    <row r="51" spans="2:10" x14ac:dyDescent="0.2">
      <c r="B51" s="130">
        <f t="shared" si="1"/>
        <v>9.4099999999999913</v>
      </c>
      <c r="C51" s="133" t="s">
        <v>236</v>
      </c>
      <c r="D51" s="86" t="s">
        <v>17</v>
      </c>
      <c r="E51" s="26">
        <v>2</v>
      </c>
      <c r="F51" s="32"/>
      <c r="G51" s="27">
        <f t="shared" si="2"/>
        <v>0</v>
      </c>
      <c r="H51" s="28">
        <v>6934620.0000000009</v>
      </c>
      <c r="I51" s="28">
        <f t="shared" si="3"/>
        <v>13869240.000000002</v>
      </c>
      <c r="J51" s="29">
        <f t="shared" si="4"/>
        <v>13869240.000000002</v>
      </c>
    </row>
    <row r="52" spans="2:10" x14ac:dyDescent="0.2">
      <c r="B52" s="130">
        <f t="shared" si="1"/>
        <v>9.419999999999991</v>
      </c>
      <c r="C52" s="133" t="s">
        <v>211</v>
      </c>
      <c r="D52" s="86" t="s">
        <v>17</v>
      </c>
      <c r="E52" s="26">
        <v>2</v>
      </c>
      <c r="F52" s="32"/>
      <c r="G52" s="27">
        <f t="shared" si="2"/>
        <v>0</v>
      </c>
      <c r="H52" s="28">
        <v>1526280.0000000002</v>
      </c>
      <c r="I52" s="28">
        <f t="shared" si="3"/>
        <v>3052560.0000000005</v>
      </c>
      <c r="J52" s="29">
        <f t="shared" si="4"/>
        <v>3052560.0000000005</v>
      </c>
    </row>
    <row r="53" spans="2:10" x14ac:dyDescent="0.2">
      <c r="B53" s="130">
        <f t="shared" si="1"/>
        <v>9.4299999999999908</v>
      </c>
      <c r="C53" s="133" t="s">
        <v>237</v>
      </c>
      <c r="D53" s="86" t="s">
        <v>17</v>
      </c>
      <c r="E53" s="26">
        <v>2</v>
      </c>
      <c r="F53" s="32"/>
      <c r="G53" s="27">
        <f t="shared" si="2"/>
        <v>0</v>
      </c>
      <c r="H53" s="28">
        <v>2632280</v>
      </c>
      <c r="I53" s="28">
        <f t="shared" si="3"/>
        <v>5264560</v>
      </c>
      <c r="J53" s="29">
        <f t="shared" si="4"/>
        <v>5264560</v>
      </c>
    </row>
    <row r="54" spans="2:10" x14ac:dyDescent="0.2">
      <c r="B54" s="130">
        <f t="shared" si="1"/>
        <v>9.4399999999999906</v>
      </c>
      <c r="C54" s="133" t="s">
        <v>238</v>
      </c>
      <c r="D54" s="86" t="s">
        <v>17</v>
      </c>
      <c r="E54" s="26">
        <v>2</v>
      </c>
      <c r="F54" s="32"/>
      <c r="G54" s="27">
        <f t="shared" si="2"/>
        <v>0</v>
      </c>
      <c r="H54" s="28">
        <v>2543800</v>
      </c>
      <c r="I54" s="28">
        <f t="shared" si="3"/>
        <v>5087600</v>
      </c>
      <c r="J54" s="29">
        <f t="shared" si="4"/>
        <v>5087600</v>
      </c>
    </row>
    <row r="55" spans="2:10" x14ac:dyDescent="0.2">
      <c r="B55" s="130">
        <f t="shared" si="1"/>
        <v>9.4499999999999904</v>
      </c>
      <c r="C55" s="133" t="s">
        <v>239</v>
      </c>
      <c r="D55" s="86" t="s">
        <v>17</v>
      </c>
      <c r="E55" s="26">
        <v>2</v>
      </c>
      <c r="F55" s="32"/>
      <c r="G55" s="27">
        <f t="shared" si="2"/>
        <v>0</v>
      </c>
      <c r="H55" s="28">
        <v>1378076.0000000002</v>
      </c>
      <c r="I55" s="28">
        <f t="shared" si="3"/>
        <v>2756152.0000000005</v>
      </c>
      <c r="J55" s="29">
        <f t="shared" si="4"/>
        <v>2756152.0000000005</v>
      </c>
    </row>
    <row r="56" spans="2:10" x14ac:dyDescent="0.2">
      <c r="B56" s="130">
        <f t="shared" si="1"/>
        <v>9.4599999999999902</v>
      </c>
      <c r="C56" s="133" t="s">
        <v>240</v>
      </c>
      <c r="D56" s="86" t="s">
        <v>17</v>
      </c>
      <c r="E56" s="26">
        <v>2</v>
      </c>
      <c r="F56" s="32"/>
      <c r="G56" s="27">
        <f t="shared" si="2"/>
        <v>0</v>
      </c>
      <c r="H56" s="28">
        <v>9600080</v>
      </c>
      <c r="I56" s="28">
        <f t="shared" si="3"/>
        <v>19200160</v>
      </c>
      <c r="J56" s="29">
        <f t="shared" si="4"/>
        <v>19200160</v>
      </c>
    </row>
    <row r="57" spans="2:10" x14ac:dyDescent="0.2">
      <c r="B57" s="130">
        <f t="shared" si="1"/>
        <v>9.46999999999999</v>
      </c>
      <c r="C57" s="133" t="s">
        <v>241</v>
      </c>
      <c r="D57" s="86" t="s">
        <v>17</v>
      </c>
      <c r="E57" s="26">
        <v>2</v>
      </c>
      <c r="F57" s="32"/>
      <c r="G57" s="27">
        <f t="shared" si="2"/>
        <v>0</v>
      </c>
      <c r="H57" s="28">
        <v>6304200.0000000009</v>
      </c>
      <c r="I57" s="28">
        <f t="shared" si="3"/>
        <v>12608400.000000002</v>
      </c>
      <c r="J57" s="29">
        <f t="shared" si="4"/>
        <v>12608400.000000002</v>
      </c>
    </row>
    <row r="58" spans="2:10" x14ac:dyDescent="0.2">
      <c r="B58" s="23">
        <f t="shared" si="1"/>
        <v>9.4799999999999898</v>
      </c>
      <c r="C58" s="133" t="s">
        <v>242</v>
      </c>
      <c r="D58" s="86" t="s">
        <v>17</v>
      </c>
      <c r="E58" s="26">
        <v>2</v>
      </c>
      <c r="F58" s="32"/>
      <c r="G58" s="27">
        <f t="shared" si="2"/>
        <v>0</v>
      </c>
      <c r="H58" s="28">
        <v>10067475.600000001</v>
      </c>
      <c r="I58" s="28">
        <f t="shared" si="3"/>
        <v>20134951.200000003</v>
      </c>
      <c r="J58" s="29">
        <f t="shared" si="4"/>
        <v>20134951.200000003</v>
      </c>
    </row>
    <row r="59" spans="2:10" x14ac:dyDescent="0.2">
      <c r="B59" s="130">
        <f t="shared" si="1"/>
        <v>9.4899999999999896</v>
      </c>
      <c r="C59" s="133" t="s">
        <v>243</v>
      </c>
      <c r="D59" s="86" t="s">
        <v>17</v>
      </c>
      <c r="E59" s="26">
        <v>2</v>
      </c>
      <c r="F59" s="32"/>
      <c r="G59" s="27">
        <f t="shared" si="2"/>
        <v>0</v>
      </c>
      <c r="H59" s="28">
        <v>15419586.560000001</v>
      </c>
      <c r="I59" s="28">
        <f t="shared" si="3"/>
        <v>30839173.120000001</v>
      </c>
      <c r="J59" s="29">
        <f t="shared" si="4"/>
        <v>30839173.120000001</v>
      </c>
    </row>
    <row r="60" spans="2:10" x14ac:dyDescent="0.2">
      <c r="B60" s="23">
        <f t="shared" si="1"/>
        <v>9.4999999999999893</v>
      </c>
      <c r="C60" s="133" t="s">
        <v>244</v>
      </c>
      <c r="D60" s="86" t="s">
        <v>17</v>
      </c>
      <c r="E60" s="26">
        <v>2</v>
      </c>
      <c r="F60" s="32"/>
      <c r="G60" s="27">
        <f t="shared" si="2"/>
        <v>0</v>
      </c>
      <c r="H60" s="28">
        <v>6370560.0000000009</v>
      </c>
      <c r="I60" s="28">
        <f t="shared" si="3"/>
        <v>12741120.000000002</v>
      </c>
      <c r="J60" s="29">
        <f t="shared" si="4"/>
        <v>12741120.000000002</v>
      </c>
    </row>
    <row r="61" spans="2:10" x14ac:dyDescent="0.2">
      <c r="B61" s="23">
        <f t="shared" si="1"/>
        <v>9.5099999999999891</v>
      </c>
      <c r="C61" s="133" t="s">
        <v>216</v>
      </c>
      <c r="D61" s="86" t="s">
        <v>17</v>
      </c>
      <c r="E61" s="26">
        <v>2</v>
      </c>
      <c r="F61" s="32"/>
      <c r="G61" s="27">
        <f t="shared" si="2"/>
        <v>0</v>
      </c>
      <c r="H61" s="28">
        <v>20350400</v>
      </c>
      <c r="I61" s="28">
        <f t="shared" si="3"/>
        <v>40700800</v>
      </c>
      <c r="J61" s="29">
        <f t="shared" si="4"/>
        <v>40700800</v>
      </c>
    </row>
    <row r="62" spans="2:10" x14ac:dyDescent="0.2">
      <c r="B62" s="23">
        <f t="shared" si="1"/>
        <v>9.5199999999999889</v>
      </c>
      <c r="C62" s="31" t="s">
        <v>164</v>
      </c>
      <c r="D62" s="86" t="s">
        <v>17</v>
      </c>
      <c r="E62" s="26">
        <v>2</v>
      </c>
      <c r="F62" s="32"/>
      <c r="G62" s="27">
        <f t="shared" si="2"/>
        <v>0</v>
      </c>
      <c r="H62" s="28">
        <v>98753634.000000015</v>
      </c>
      <c r="I62" s="28">
        <f t="shared" si="3"/>
        <v>197507268.00000003</v>
      </c>
      <c r="J62" s="29">
        <f t="shared" ref="J62:J79" si="5">G62+I62</f>
        <v>197507268.00000003</v>
      </c>
    </row>
    <row r="63" spans="2:10" x14ac:dyDescent="0.2">
      <c r="B63" s="23">
        <f t="shared" si="1"/>
        <v>9.5299999999999887</v>
      </c>
      <c r="C63" s="116" t="s">
        <v>165</v>
      </c>
      <c r="D63" s="86" t="s">
        <v>17</v>
      </c>
      <c r="E63" s="26">
        <v>2</v>
      </c>
      <c r="F63" s="32"/>
      <c r="G63" s="27">
        <f t="shared" si="2"/>
        <v>0</v>
      </c>
      <c r="H63" s="28">
        <v>13935600.000000002</v>
      </c>
      <c r="I63" s="28">
        <f t="shared" si="3"/>
        <v>27871200.000000004</v>
      </c>
      <c r="J63" s="29">
        <f t="shared" si="5"/>
        <v>27871200.000000004</v>
      </c>
    </row>
    <row r="64" spans="2:10" x14ac:dyDescent="0.2">
      <c r="B64" s="23">
        <f t="shared" si="1"/>
        <v>9.5399999999999885</v>
      </c>
      <c r="C64" s="116" t="s">
        <v>166</v>
      </c>
      <c r="D64" s="86" t="s">
        <v>17</v>
      </c>
      <c r="E64" s="26">
        <v>2</v>
      </c>
      <c r="F64" s="32"/>
      <c r="G64" s="27">
        <f t="shared" si="2"/>
        <v>0</v>
      </c>
      <c r="H64" s="28">
        <v>3871000.0000000005</v>
      </c>
      <c r="I64" s="28">
        <f t="shared" si="3"/>
        <v>7742000.0000000009</v>
      </c>
      <c r="J64" s="29">
        <f t="shared" si="5"/>
        <v>7742000.0000000009</v>
      </c>
    </row>
    <row r="65" spans="2:10" x14ac:dyDescent="0.2">
      <c r="B65" s="23">
        <f t="shared" si="1"/>
        <v>9.5499999999999883</v>
      </c>
      <c r="C65" s="35" t="s">
        <v>34</v>
      </c>
      <c r="D65" s="86" t="s">
        <v>17</v>
      </c>
      <c r="E65" s="26">
        <v>16</v>
      </c>
      <c r="F65" s="27">
        <v>31385</v>
      </c>
      <c r="G65" s="27">
        <f t="shared" si="2"/>
        <v>502160</v>
      </c>
      <c r="H65" s="28">
        <v>31603.894349247203</v>
      </c>
      <c r="I65" s="28">
        <f t="shared" si="3"/>
        <v>505662.30958795524</v>
      </c>
      <c r="J65" s="29">
        <f t="shared" si="5"/>
        <v>1007822.3095879552</v>
      </c>
    </row>
    <row r="66" spans="2:10" ht="38.25" x14ac:dyDescent="0.2">
      <c r="B66" s="23">
        <f t="shared" si="1"/>
        <v>9.5599999999999881</v>
      </c>
      <c r="C66" s="133" t="s">
        <v>245</v>
      </c>
      <c r="D66" s="86" t="s">
        <v>17</v>
      </c>
      <c r="E66" s="26">
        <v>4</v>
      </c>
      <c r="F66" s="27">
        <v>5158994</v>
      </c>
      <c r="G66" s="27">
        <f t="shared" si="2"/>
        <v>20635976</v>
      </c>
      <c r="H66" s="28">
        <v>570804</v>
      </c>
      <c r="I66" s="28">
        <f t="shared" si="3"/>
        <v>2283216</v>
      </c>
      <c r="J66" s="29">
        <f t="shared" si="5"/>
        <v>22919192</v>
      </c>
    </row>
    <row r="67" spans="2:10" ht="38.25" x14ac:dyDescent="0.2">
      <c r="B67" s="23">
        <f t="shared" si="1"/>
        <v>9.5699999999999878</v>
      </c>
      <c r="C67" s="133" t="s">
        <v>246</v>
      </c>
      <c r="D67" s="86" t="s">
        <v>17</v>
      </c>
      <c r="E67" s="26">
        <v>2</v>
      </c>
      <c r="F67" s="27">
        <v>1700201</v>
      </c>
      <c r="G67" s="27">
        <f t="shared" si="2"/>
        <v>3400402</v>
      </c>
      <c r="H67" s="28">
        <v>442619</v>
      </c>
      <c r="I67" s="28">
        <f t="shared" si="3"/>
        <v>885238</v>
      </c>
      <c r="J67" s="29">
        <f>G67+I67</f>
        <v>4285640</v>
      </c>
    </row>
    <row r="68" spans="2:10" ht="12.75" customHeight="1" x14ac:dyDescent="0.2">
      <c r="B68" s="23">
        <f t="shared" si="1"/>
        <v>9.5799999999999876</v>
      </c>
      <c r="C68" s="83" t="s">
        <v>116</v>
      </c>
      <c r="D68" s="25" t="s">
        <v>17</v>
      </c>
      <c r="E68" s="26">
        <v>16</v>
      </c>
      <c r="F68" s="27">
        <v>121768</v>
      </c>
      <c r="G68" s="27">
        <f t="shared" si="2"/>
        <v>1948288</v>
      </c>
      <c r="H68" s="28">
        <v>23134</v>
      </c>
      <c r="I68" s="28">
        <f t="shared" si="3"/>
        <v>370144</v>
      </c>
      <c r="J68" s="29">
        <f t="shared" si="5"/>
        <v>2318432</v>
      </c>
    </row>
    <row r="69" spans="2:10" ht="13.5" customHeight="1" x14ac:dyDescent="0.2">
      <c r="B69" s="23">
        <f t="shared" si="1"/>
        <v>9.5899999999999874</v>
      </c>
      <c r="C69" s="83" t="s">
        <v>247</v>
      </c>
      <c r="D69" s="25" t="s">
        <v>17</v>
      </c>
      <c r="E69" s="26">
        <v>4</v>
      </c>
      <c r="F69" s="27">
        <v>2447029</v>
      </c>
      <c r="G69" s="27">
        <f t="shared" si="2"/>
        <v>9788116</v>
      </c>
      <c r="H69" s="28">
        <v>132082</v>
      </c>
      <c r="I69" s="28">
        <f t="shared" si="3"/>
        <v>528328</v>
      </c>
      <c r="J69" s="29">
        <f t="shared" si="5"/>
        <v>10316444</v>
      </c>
    </row>
    <row r="70" spans="2:10" x14ac:dyDescent="0.2">
      <c r="B70" s="23">
        <f t="shared" si="1"/>
        <v>9.5999999999999872</v>
      </c>
      <c r="C70" s="83" t="s">
        <v>117</v>
      </c>
      <c r="D70" s="25" t="s">
        <v>17</v>
      </c>
      <c r="E70" s="26">
        <v>8</v>
      </c>
      <c r="F70" s="27">
        <v>385359</v>
      </c>
      <c r="G70" s="27">
        <f t="shared" si="2"/>
        <v>3082872</v>
      </c>
      <c r="H70" s="28">
        <v>33506</v>
      </c>
      <c r="I70" s="28">
        <f t="shared" si="3"/>
        <v>268048</v>
      </c>
      <c r="J70" s="29">
        <f t="shared" si="5"/>
        <v>3350920</v>
      </c>
    </row>
    <row r="71" spans="2:10" ht="25.5" x14ac:dyDescent="0.2">
      <c r="B71" s="23">
        <f t="shared" si="1"/>
        <v>9.609999999999987</v>
      </c>
      <c r="C71" s="34" t="s">
        <v>39</v>
      </c>
      <c r="D71" s="78" t="s">
        <v>17</v>
      </c>
      <c r="E71" s="26">
        <v>2</v>
      </c>
      <c r="F71" s="27">
        <v>149435</v>
      </c>
      <c r="G71" s="27">
        <f t="shared" si="2"/>
        <v>298870</v>
      </c>
      <c r="H71" s="28">
        <v>138607.71709633575</v>
      </c>
      <c r="I71" s="28">
        <f t="shared" si="3"/>
        <v>277215.4341926715</v>
      </c>
      <c r="J71" s="29">
        <f t="shared" si="5"/>
        <v>576085.43419267144</v>
      </c>
    </row>
    <row r="72" spans="2:10" ht="25.5" x14ac:dyDescent="0.2">
      <c r="B72" s="23">
        <f t="shared" si="1"/>
        <v>9.6199999999999868</v>
      </c>
      <c r="C72" s="34" t="s">
        <v>40</v>
      </c>
      <c r="D72" s="78" t="s">
        <v>17</v>
      </c>
      <c r="E72" s="26">
        <v>2</v>
      </c>
      <c r="F72" s="27">
        <v>263833</v>
      </c>
      <c r="G72" s="27">
        <f t="shared" si="2"/>
        <v>527666</v>
      </c>
      <c r="H72" s="28">
        <v>2265263.3868821794</v>
      </c>
      <c r="I72" s="28">
        <f t="shared" si="3"/>
        <v>4530526.7737643588</v>
      </c>
      <c r="J72" s="29">
        <f t="shared" si="5"/>
        <v>5058192.7737643588</v>
      </c>
    </row>
    <row r="73" spans="2:10" ht="27.75" customHeight="1" x14ac:dyDescent="0.2">
      <c r="B73" s="23">
        <f t="shared" si="1"/>
        <v>9.6299999999999866</v>
      </c>
      <c r="C73" s="36" t="s">
        <v>35</v>
      </c>
      <c r="D73" s="103" t="s">
        <v>17</v>
      </c>
      <c r="E73" s="26">
        <v>2</v>
      </c>
      <c r="F73" s="27">
        <v>192904</v>
      </c>
      <c r="G73" s="27">
        <f t="shared" si="2"/>
        <v>385808</v>
      </c>
      <c r="H73" s="28">
        <v>170263</v>
      </c>
      <c r="I73" s="28">
        <f t="shared" si="3"/>
        <v>340526</v>
      </c>
      <c r="J73" s="29">
        <f t="shared" si="5"/>
        <v>726334</v>
      </c>
    </row>
    <row r="74" spans="2:10" ht="25.5" x14ac:dyDescent="0.2">
      <c r="B74" s="23">
        <f t="shared" si="1"/>
        <v>9.6399999999999864</v>
      </c>
      <c r="C74" s="34" t="s">
        <v>36</v>
      </c>
      <c r="D74" s="78" t="s">
        <v>17</v>
      </c>
      <c r="E74" s="26">
        <v>4</v>
      </c>
      <c r="F74" s="27">
        <v>962106</v>
      </c>
      <c r="G74" s="27">
        <f t="shared" si="2"/>
        <v>3848424</v>
      </c>
      <c r="H74" s="28">
        <v>817672.19688000006</v>
      </c>
      <c r="I74" s="28">
        <f t="shared" si="3"/>
        <v>3270688.7875200002</v>
      </c>
      <c r="J74" s="29">
        <f t="shared" si="5"/>
        <v>7119112.7875200007</v>
      </c>
    </row>
    <row r="75" spans="2:10" x14ac:dyDescent="0.2">
      <c r="B75" s="23">
        <f t="shared" ref="B75:B79" si="6">B74+0.01</f>
        <v>9.6499999999999861</v>
      </c>
      <c r="C75" s="36" t="s">
        <v>37</v>
      </c>
      <c r="D75" s="25" t="s">
        <v>17</v>
      </c>
      <c r="E75" s="26">
        <v>2</v>
      </c>
      <c r="F75" s="27">
        <v>455761</v>
      </c>
      <c r="G75" s="27">
        <f t="shared" ref="G75:G79" si="7">E75*F75</f>
        <v>911522</v>
      </c>
      <c r="H75" s="28">
        <v>97455</v>
      </c>
      <c r="I75" s="28">
        <f t="shared" ref="I75:I79" si="8">E75*H75</f>
        <v>194910</v>
      </c>
      <c r="J75" s="29">
        <f t="shared" si="5"/>
        <v>1106432</v>
      </c>
    </row>
    <row r="76" spans="2:10" x14ac:dyDescent="0.2">
      <c r="B76" s="23">
        <f t="shared" si="6"/>
        <v>9.6599999999999859</v>
      </c>
      <c r="C76" s="34" t="s">
        <v>38</v>
      </c>
      <c r="D76" s="78" t="s">
        <v>17</v>
      </c>
      <c r="E76" s="26">
        <v>192</v>
      </c>
      <c r="F76" s="27">
        <v>7418.4565171643308</v>
      </c>
      <c r="G76" s="27">
        <f t="shared" si="7"/>
        <v>1424343.6512955516</v>
      </c>
      <c r="H76" s="28">
        <v>2017.5034107997981</v>
      </c>
      <c r="I76" s="28">
        <f t="shared" si="8"/>
        <v>387360.65487356123</v>
      </c>
      <c r="J76" s="29">
        <f t="shared" si="5"/>
        <v>1811704.3061691127</v>
      </c>
    </row>
    <row r="77" spans="2:10" x14ac:dyDescent="0.2">
      <c r="B77" s="23">
        <f t="shared" si="6"/>
        <v>9.6699999999999857</v>
      </c>
      <c r="C77" s="36" t="s">
        <v>41</v>
      </c>
      <c r="D77" s="25" t="s">
        <v>17</v>
      </c>
      <c r="E77" s="26">
        <v>384</v>
      </c>
      <c r="F77" s="27">
        <v>7441</v>
      </c>
      <c r="G77" s="27">
        <f t="shared" si="7"/>
        <v>2857344</v>
      </c>
      <c r="H77" s="28">
        <v>45514</v>
      </c>
      <c r="I77" s="28">
        <f t="shared" si="8"/>
        <v>17477376</v>
      </c>
      <c r="J77" s="29">
        <f t="shared" si="5"/>
        <v>20334720</v>
      </c>
    </row>
    <row r="78" spans="2:10" x14ac:dyDescent="0.2">
      <c r="B78" s="23">
        <f t="shared" si="6"/>
        <v>9.6799999999999855</v>
      </c>
      <c r="C78" s="133" t="s">
        <v>74</v>
      </c>
      <c r="D78" s="86" t="s">
        <v>197</v>
      </c>
      <c r="E78" s="26">
        <v>2</v>
      </c>
      <c r="F78" s="27">
        <v>2977793.9000000004</v>
      </c>
      <c r="G78" s="27">
        <f t="shared" si="7"/>
        <v>5955587.8000000007</v>
      </c>
      <c r="H78" s="28"/>
      <c r="I78" s="28">
        <f t="shared" si="8"/>
        <v>0</v>
      </c>
      <c r="J78" s="29">
        <f t="shared" si="5"/>
        <v>5955587.8000000007</v>
      </c>
    </row>
    <row r="79" spans="2:10" ht="13.5" thickBot="1" x14ac:dyDescent="0.25">
      <c r="B79" s="37">
        <f t="shared" si="6"/>
        <v>9.6899999999999853</v>
      </c>
      <c r="C79" s="136" t="s">
        <v>44</v>
      </c>
      <c r="D79" s="137" t="s">
        <v>197</v>
      </c>
      <c r="E79" s="39">
        <v>2</v>
      </c>
      <c r="F79" s="68">
        <v>9000000</v>
      </c>
      <c r="G79" s="40">
        <f t="shared" si="7"/>
        <v>18000000</v>
      </c>
      <c r="H79" s="41"/>
      <c r="I79" s="41">
        <f t="shared" si="8"/>
        <v>0</v>
      </c>
      <c r="J79" s="42">
        <f t="shared" si="5"/>
        <v>18000000</v>
      </c>
    </row>
    <row r="80" spans="2:10" ht="13.5" thickBot="1" x14ac:dyDescent="0.25">
      <c r="B80" s="138"/>
      <c r="C80" s="138"/>
      <c r="D80" s="138"/>
      <c r="E80" s="138"/>
      <c r="F80" s="139"/>
      <c r="G80" s="140"/>
    </row>
    <row r="81" spans="2:10" ht="15.75" x14ac:dyDescent="0.2">
      <c r="B81" s="161"/>
      <c r="C81" s="162"/>
      <c r="D81" s="163"/>
      <c r="E81" s="43"/>
      <c r="F81" s="44"/>
      <c r="G81" s="45"/>
      <c r="H81" s="46" t="s">
        <v>45</v>
      </c>
      <c r="I81" s="47"/>
      <c r="J81" s="48">
        <f>SUM(J9:J79)</f>
        <v>3291697319.7072339</v>
      </c>
    </row>
    <row r="82" spans="2:10" x14ac:dyDescent="0.2">
      <c r="B82" s="161"/>
      <c r="C82" s="162"/>
      <c r="D82" s="163"/>
      <c r="E82" s="43"/>
      <c r="F82" s="49" t="s">
        <v>46</v>
      </c>
      <c r="G82" s="50"/>
      <c r="H82" s="51"/>
      <c r="I82" s="52">
        <v>0.22</v>
      </c>
      <c r="J82" s="29">
        <f>J81*I82</f>
        <v>724173410.33559144</v>
      </c>
    </row>
    <row r="83" spans="2:10" x14ac:dyDescent="0.2">
      <c r="B83" s="161"/>
      <c r="C83" s="162"/>
      <c r="D83" s="163"/>
      <c r="E83" s="43"/>
      <c r="F83" s="49" t="s">
        <v>47</v>
      </c>
      <c r="G83" s="50"/>
      <c r="H83" s="51"/>
      <c r="I83" s="52">
        <v>0.04</v>
      </c>
      <c r="J83" s="29">
        <f>J81*I83</f>
        <v>131667892.78828935</v>
      </c>
    </row>
    <row r="84" spans="2:10" x14ac:dyDescent="0.2">
      <c r="B84" s="161"/>
      <c r="C84" s="162"/>
      <c r="D84" s="163"/>
      <c r="E84" s="43"/>
      <c r="F84" s="49" t="s">
        <v>48</v>
      </c>
      <c r="G84" s="50"/>
      <c r="H84" s="51"/>
      <c r="I84" s="52">
        <v>0.04</v>
      </c>
      <c r="J84" s="29">
        <f>J81*I84</f>
        <v>131667892.78828935</v>
      </c>
    </row>
    <row r="85" spans="2:10" x14ac:dyDescent="0.2">
      <c r="B85" s="161"/>
      <c r="C85" s="162"/>
      <c r="D85" s="163"/>
      <c r="E85" s="43"/>
      <c r="F85" s="49" t="s">
        <v>49</v>
      </c>
      <c r="G85" s="50"/>
      <c r="H85" s="51"/>
      <c r="I85" s="53"/>
      <c r="J85" s="29"/>
    </row>
    <row r="86" spans="2:10" x14ac:dyDescent="0.2">
      <c r="B86" s="161"/>
      <c r="C86" s="162"/>
      <c r="D86" s="163"/>
      <c r="E86" s="43"/>
      <c r="F86" s="49" t="s">
        <v>50</v>
      </c>
      <c r="G86" s="50"/>
      <c r="H86" s="51"/>
      <c r="I86" s="52">
        <v>0.19</v>
      </c>
      <c r="J86" s="29">
        <f>J84*I86</f>
        <v>25016899.629774977</v>
      </c>
    </row>
    <row r="87" spans="2:10" x14ac:dyDescent="0.2">
      <c r="B87" s="161"/>
      <c r="C87" s="162"/>
      <c r="D87" s="163"/>
      <c r="E87" s="43"/>
      <c r="F87" s="54"/>
      <c r="G87" s="50"/>
      <c r="H87" s="51"/>
      <c r="I87" s="55"/>
      <c r="J87" s="29"/>
    </row>
    <row r="88" spans="2:10" ht="16.5" thickBot="1" x14ac:dyDescent="0.25">
      <c r="B88" s="161"/>
      <c r="C88" s="162"/>
      <c r="D88" s="163"/>
      <c r="E88" s="43"/>
      <c r="F88" s="56"/>
      <c r="G88" s="57"/>
      <c r="H88" s="58" t="s">
        <v>51</v>
      </c>
      <c r="I88" s="41"/>
      <c r="J88" s="59">
        <f>SUM(J81:J86)</f>
        <v>4304223415.2491789</v>
      </c>
    </row>
    <row r="89" spans="2:10" x14ac:dyDescent="0.2">
      <c r="B89" s="161"/>
      <c r="C89" s="162"/>
      <c r="D89" s="163"/>
      <c r="E89" s="43"/>
      <c r="F89" s="164"/>
      <c r="G89" s="165"/>
    </row>
  </sheetData>
  <mergeCells count="4">
    <mergeCell ref="F6:G6"/>
    <mergeCell ref="H6:I6"/>
    <mergeCell ref="B7:B8"/>
    <mergeCell ref="C7:C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B9789-CDAE-4BB4-9E6B-21A3AA8C1787}">
  <sheetPr>
    <tabColor rgb="FF92D050"/>
  </sheetPr>
  <dimension ref="B1:J135"/>
  <sheetViews>
    <sheetView workbookViewId="0"/>
  </sheetViews>
  <sheetFormatPr baseColWidth="10" defaultRowHeight="12.75" x14ac:dyDescent="0.2"/>
  <cols>
    <col min="1" max="1" width="5.25" style="125" customWidth="1"/>
    <col min="2" max="2" width="6.125" style="125" customWidth="1"/>
    <col min="3" max="3" width="60.625" style="126" customWidth="1"/>
    <col min="4" max="5" width="9.625" style="127" customWidth="1"/>
    <col min="6" max="6" width="10.75" style="127" customWidth="1"/>
    <col min="7" max="7" width="12.125" style="127" customWidth="1"/>
    <col min="8" max="9" width="11.625" style="123" customWidth="1"/>
    <col min="10" max="10" width="13.125" style="125" customWidth="1"/>
    <col min="11" max="12" width="11.625" style="125" customWidth="1"/>
    <col min="13" max="134" width="11" style="125"/>
    <col min="135" max="135" width="7.875" style="125" customWidth="1"/>
    <col min="136" max="136" width="59.375" style="125" customWidth="1"/>
    <col min="137" max="138" width="16" style="125" customWidth="1"/>
    <col min="139" max="165" width="16.875" style="125" customWidth="1"/>
    <col min="166" max="168" width="25.375" style="125" customWidth="1"/>
    <col min="169" max="169" width="21.25" style="125" customWidth="1"/>
    <col min="170" max="170" width="11.75" style="125" customWidth="1"/>
    <col min="171" max="171" width="13.875" style="125" customWidth="1"/>
    <col min="172" max="172" width="19.25" style="125" customWidth="1"/>
    <col min="173" max="173" width="16.625" style="125" customWidth="1"/>
    <col min="174" max="390" width="11" style="125"/>
    <col min="391" max="391" width="7.875" style="125" customWidth="1"/>
    <col min="392" max="392" width="59.375" style="125" customWidth="1"/>
    <col min="393" max="394" width="16" style="125" customWidth="1"/>
    <col min="395" max="421" width="16.875" style="125" customWidth="1"/>
    <col min="422" max="424" width="25.375" style="125" customWidth="1"/>
    <col min="425" max="425" width="21.25" style="125" customWidth="1"/>
    <col min="426" max="426" width="11.75" style="125" customWidth="1"/>
    <col min="427" max="427" width="13.875" style="125" customWidth="1"/>
    <col min="428" max="428" width="19.25" style="125" customWidth="1"/>
    <col min="429" max="429" width="16.625" style="125" customWidth="1"/>
    <col min="430" max="646" width="11" style="125"/>
    <col min="647" max="647" width="7.875" style="125" customWidth="1"/>
    <col min="648" max="648" width="59.375" style="125" customWidth="1"/>
    <col min="649" max="650" width="16" style="125" customWidth="1"/>
    <col min="651" max="677" width="16.875" style="125" customWidth="1"/>
    <col min="678" max="680" width="25.375" style="125" customWidth="1"/>
    <col min="681" max="681" width="21.25" style="125" customWidth="1"/>
    <col min="682" max="682" width="11.75" style="125" customWidth="1"/>
    <col min="683" max="683" width="13.875" style="125" customWidth="1"/>
    <col min="684" max="684" width="19.25" style="125" customWidth="1"/>
    <col min="685" max="685" width="16.625" style="125" customWidth="1"/>
    <col min="686" max="902" width="11" style="125"/>
    <col min="903" max="903" width="7.875" style="125" customWidth="1"/>
    <col min="904" max="904" width="59.375" style="125" customWidth="1"/>
    <col min="905" max="906" width="16" style="125" customWidth="1"/>
    <col min="907" max="933" width="16.875" style="125" customWidth="1"/>
    <col min="934" max="936" width="25.375" style="125" customWidth="1"/>
    <col min="937" max="937" width="21.25" style="125" customWidth="1"/>
    <col min="938" max="938" width="11.75" style="125" customWidth="1"/>
    <col min="939" max="939" width="13.875" style="125" customWidth="1"/>
    <col min="940" max="940" width="19.25" style="125" customWidth="1"/>
    <col min="941" max="941" width="16.625" style="125" customWidth="1"/>
    <col min="942" max="1158" width="11" style="125"/>
    <col min="1159" max="1159" width="7.875" style="125" customWidth="1"/>
    <col min="1160" max="1160" width="59.375" style="125" customWidth="1"/>
    <col min="1161" max="1162" width="16" style="125" customWidth="1"/>
    <col min="1163" max="1189" width="16.875" style="125" customWidth="1"/>
    <col min="1190" max="1192" width="25.375" style="125" customWidth="1"/>
    <col min="1193" max="1193" width="21.25" style="125" customWidth="1"/>
    <col min="1194" max="1194" width="11.75" style="125" customWidth="1"/>
    <col min="1195" max="1195" width="13.875" style="125" customWidth="1"/>
    <col min="1196" max="1196" width="19.25" style="125" customWidth="1"/>
    <col min="1197" max="1197" width="16.625" style="125" customWidth="1"/>
    <col min="1198" max="1414" width="11" style="125"/>
    <col min="1415" max="1415" width="7.875" style="125" customWidth="1"/>
    <col min="1416" max="1416" width="59.375" style="125" customWidth="1"/>
    <col min="1417" max="1418" width="16" style="125" customWidth="1"/>
    <col min="1419" max="1445" width="16.875" style="125" customWidth="1"/>
    <col min="1446" max="1448" width="25.375" style="125" customWidth="1"/>
    <col min="1449" max="1449" width="21.25" style="125" customWidth="1"/>
    <col min="1450" max="1450" width="11.75" style="125" customWidth="1"/>
    <col min="1451" max="1451" width="13.875" style="125" customWidth="1"/>
    <col min="1452" max="1452" width="19.25" style="125" customWidth="1"/>
    <col min="1453" max="1453" width="16.625" style="125" customWidth="1"/>
    <col min="1454" max="1670" width="11" style="125"/>
    <col min="1671" max="1671" width="7.875" style="125" customWidth="1"/>
    <col min="1672" max="1672" width="59.375" style="125" customWidth="1"/>
    <col min="1673" max="1674" width="16" style="125" customWidth="1"/>
    <col min="1675" max="1701" width="16.875" style="125" customWidth="1"/>
    <col min="1702" max="1704" width="25.375" style="125" customWidth="1"/>
    <col min="1705" max="1705" width="21.25" style="125" customWidth="1"/>
    <col min="1706" max="1706" width="11.75" style="125" customWidth="1"/>
    <col min="1707" max="1707" width="13.875" style="125" customWidth="1"/>
    <col min="1708" max="1708" width="19.25" style="125" customWidth="1"/>
    <col min="1709" max="1709" width="16.625" style="125" customWidth="1"/>
    <col min="1710" max="1926" width="11" style="125"/>
    <col min="1927" max="1927" width="7.875" style="125" customWidth="1"/>
    <col min="1928" max="1928" width="59.375" style="125" customWidth="1"/>
    <col min="1929" max="1930" width="16" style="125" customWidth="1"/>
    <col min="1931" max="1957" width="16.875" style="125" customWidth="1"/>
    <col min="1958" max="1960" width="25.375" style="125" customWidth="1"/>
    <col min="1961" max="1961" width="21.25" style="125" customWidth="1"/>
    <col min="1962" max="1962" width="11.75" style="125" customWidth="1"/>
    <col min="1963" max="1963" width="13.875" style="125" customWidth="1"/>
    <col min="1964" max="1964" width="19.25" style="125" customWidth="1"/>
    <col min="1965" max="1965" width="16.625" style="125" customWidth="1"/>
    <col min="1966" max="2182" width="11" style="125"/>
    <col min="2183" max="2183" width="7.875" style="125" customWidth="1"/>
    <col min="2184" max="2184" width="59.375" style="125" customWidth="1"/>
    <col min="2185" max="2186" width="16" style="125" customWidth="1"/>
    <col min="2187" max="2213" width="16.875" style="125" customWidth="1"/>
    <col min="2214" max="2216" width="25.375" style="125" customWidth="1"/>
    <col min="2217" max="2217" width="21.25" style="125" customWidth="1"/>
    <col min="2218" max="2218" width="11.75" style="125" customWidth="1"/>
    <col min="2219" max="2219" width="13.875" style="125" customWidth="1"/>
    <col min="2220" max="2220" width="19.25" style="125" customWidth="1"/>
    <col min="2221" max="2221" width="16.625" style="125" customWidth="1"/>
    <col min="2222" max="2438" width="11" style="125"/>
    <col min="2439" max="2439" width="7.875" style="125" customWidth="1"/>
    <col min="2440" max="2440" width="59.375" style="125" customWidth="1"/>
    <col min="2441" max="2442" width="16" style="125" customWidth="1"/>
    <col min="2443" max="2469" width="16.875" style="125" customWidth="1"/>
    <col min="2470" max="2472" width="25.375" style="125" customWidth="1"/>
    <col min="2473" max="2473" width="21.25" style="125" customWidth="1"/>
    <col min="2474" max="2474" width="11.75" style="125" customWidth="1"/>
    <col min="2475" max="2475" width="13.875" style="125" customWidth="1"/>
    <col min="2476" max="2476" width="19.25" style="125" customWidth="1"/>
    <col min="2477" max="2477" width="16.625" style="125" customWidth="1"/>
    <col min="2478" max="2694" width="11" style="125"/>
    <col min="2695" max="2695" width="7.875" style="125" customWidth="1"/>
    <col min="2696" max="2696" width="59.375" style="125" customWidth="1"/>
    <col min="2697" max="2698" width="16" style="125" customWidth="1"/>
    <col min="2699" max="2725" width="16.875" style="125" customWidth="1"/>
    <col min="2726" max="2728" width="25.375" style="125" customWidth="1"/>
    <col min="2729" max="2729" width="21.25" style="125" customWidth="1"/>
    <col min="2730" max="2730" width="11.75" style="125" customWidth="1"/>
    <col min="2731" max="2731" width="13.875" style="125" customWidth="1"/>
    <col min="2732" max="2732" width="19.25" style="125" customWidth="1"/>
    <col min="2733" max="2733" width="16.625" style="125" customWidth="1"/>
    <col min="2734" max="2950" width="11" style="125"/>
    <col min="2951" max="2951" width="7.875" style="125" customWidth="1"/>
    <col min="2952" max="2952" width="59.375" style="125" customWidth="1"/>
    <col min="2953" max="2954" width="16" style="125" customWidth="1"/>
    <col min="2955" max="2981" width="16.875" style="125" customWidth="1"/>
    <col min="2982" max="2984" width="25.375" style="125" customWidth="1"/>
    <col min="2985" max="2985" width="21.25" style="125" customWidth="1"/>
    <col min="2986" max="2986" width="11.75" style="125" customWidth="1"/>
    <col min="2987" max="2987" width="13.875" style="125" customWidth="1"/>
    <col min="2988" max="2988" width="19.25" style="125" customWidth="1"/>
    <col min="2989" max="2989" width="16.625" style="125" customWidth="1"/>
    <col min="2990" max="3206" width="11" style="125"/>
    <col min="3207" max="3207" width="7.875" style="125" customWidth="1"/>
    <col min="3208" max="3208" width="59.375" style="125" customWidth="1"/>
    <col min="3209" max="3210" width="16" style="125" customWidth="1"/>
    <col min="3211" max="3237" width="16.875" style="125" customWidth="1"/>
    <col min="3238" max="3240" width="25.375" style="125" customWidth="1"/>
    <col min="3241" max="3241" width="21.25" style="125" customWidth="1"/>
    <col min="3242" max="3242" width="11.75" style="125" customWidth="1"/>
    <col min="3243" max="3243" width="13.875" style="125" customWidth="1"/>
    <col min="3244" max="3244" width="19.25" style="125" customWidth="1"/>
    <col min="3245" max="3245" width="16.625" style="125" customWidth="1"/>
    <col min="3246" max="3462" width="11" style="125"/>
    <col min="3463" max="3463" width="7.875" style="125" customWidth="1"/>
    <col min="3464" max="3464" width="59.375" style="125" customWidth="1"/>
    <col min="3465" max="3466" width="16" style="125" customWidth="1"/>
    <col min="3467" max="3493" width="16.875" style="125" customWidth="1"/>
    <col min="3494" max="3496" width="25.375" style="125" customWidth="1"/>
    <col min="3497" max="3497" width="21.25" style="125" customWidth="1"/>
    <col min="3498" max="3498" width="11.75" style="125" customWidth="1"/>
    <col min="3499" max="3499" width="13.875" style="125" customWidth="1"/>
    <col min="3500" max="3500" width="19.25" style="125" customWidth="1"/>
    <col min="3501" max="3501" width="16.625" style="125" customWidth="1"/>
    <col min="3502" max="3718" width="11" style="125"/>
    <col min="3719" max="3719" width="7.875" style="125" customWidth="1"/>
    <col min="3720" max="3720" width="59.375" style="125" customWidth="1"/>
    <col min="3721" max="3722" width="16" style="125" customWidth="1"/>
    <col min="3723" max="3749" width="16.875" style="125" customWidth="1"/>
    <col min="3750" max="3752" width="25.375" style="125" customWidth="1"/>
    <col min="3753" max="3753" width="21.25" style="125" customWidth="1"/>
    <col min="3754" max="3754" width="11.75" style="125" customWidth="1"/>
    <col min="3755" max="3755" width="13.875" style="125" customWidth="1"/>
    <col min="3756" max="3756" width="19.25" style="125" customWidth="1"/>
    <col min="3757" max="3757" width="16.625" style="125" customWidth="1"/>
    <col min="3758" max="3974" width="11" style="125"/>
    <col min="3975" max="3975" width="7.875" style="125" customWidth="1"/>
    <col min="3976" max="3976" width="59.375" style="125" customWidth="1"/>
    <col min="3977" max="3978" width="16" style="125" customWidth="1"/>
    <col min="3979" max="4005" width="16.875" style="125" customWidth="1"/>
    <col min="4006" max="4008" width="25.375" style="125" customWidth="1"/>
    <col min="4009" max="4009" width="21.25" style="125" customWidth="1"/>
    <col min="4010" max="4010" width="11.75" style="125" customWidth="1"/>
    <col min="4011" max="4011" width="13.875" style="125" customWidth="1"/>
    <col min="4012" max="4012" width="19.25" style="125" customWidth="1"/>
    <col min="4013" max="4013" width="16.625" style="125" customWidth="1"/>
    <col min="4014" max="4230" width="11" style="125"/>
    <col min="4231" max="4231" width="7.875" style="125" customWidth="1"/>
    <col min="4232" max="4232" width="59.375" style="125" customWidth="1"/>
    <col min="4233" max="4234" width="16" style="125" customWidth="1"/>
    <col min="4235" max="4261" width="16.875" style="125" customWidth="1"/>
    <col min="4262" max="4264" width="25.375" style="125" customWidth="1"/>
    <col min="4265" max="4265" width="21.25" style="125" customWidth="1"/>
    <col min="4266" max="4266" width="11.75" style="125" customWidth="1"/>
    <col min="4267" max="4267" width="13.875" style="125" customWidth="1"/>
    <col min="4268" max="4268" width="19.25" style="125" customWidth="1"/>
    <col min="4269" max="4269" width="16.625" style="125" customWidth="1"/>
    <col min="4270" max="4486" width="11" style="125"/>
    <col min="4487" max="4487" width="7.875" style="125" customWidth="1"/>
    <col min="4488" max="4488" width="59.375" style="125" customWidth="1"/>
    <col min="4489" max="4490" width="16" style="125" customWidth="1"/>
    <col min="4491" max="4517" width="16.875" style="125" customWidth="1"/>
    <col min="4518" max="4520" width="25.375" style="125" customWidth="1"/>
    <col min="4521" max="4521" width="21.25" style="125" customWidth="1"/>
    <col min="4522" max="4522" width="11.75" style="125" customWidth="1"/>
    <col min="4523" max="4523" width="13.875" style="125" customWidth="1"/>
    <col min="4524" max="4524" width="19.25" style="125" customWidth="1"/>
    <col min="4525" max="4525" width="16.625" style="125" customWidth="1"/>
    <col min="4526" max="4742" width="11" style="125"/>
    <col min="4743" max="4743" width="7.875" style="125" customWidth="1"/>
    <col min="4744" max="4744" width="59.375" style="125" customWidth="1"/>
    <col min="4745" max="4746" width="16" style="125" customWidth="1"/>
    <col min="4747" max="4773" width="16.875" style="125" customWidth="1"/>
    <col min="4774" max="4776" width="25.375" style="125" customWidth="1"/>
    <col min="4777" max="4777" width="21.25" style="125" customWidth="1"/>
    <col min="4778" max="4778" width="11.75" style="125" customWidth="1"/>
    <col min="4779" max="4779" width="13.875" style="125" customWidth="1"/>
    <col min="4780" max="4780" width="19.25" style="125" customWidth="1"/>
    <col min="4781" max="4781" width="16.625" style="125" customWidth="1"/>
    <col min="4782" max="4998" width="11" style="125"/>
    <col min="4999" max="4999" width="7.875" style="125" customWidth="1"/>
    <col min="5000" max="5000" width="59.375" style="125" customWidth="1"/>
    <col min="5001" max="5002" width="16" style="125" customWidth="1"/>
    <col min="5003" max="5029" width="16.875" style="125" customWidth="1"/>
    <col min="5030" max="5032" width="25.375" style="125" customWidth="1"/>
    <col min="5033" max="5033" width="21.25" style="125" customWidth="1"/>
    <col min="5034" max="5034" width="11.75" style="125" customWidth="1"/>
    <col min="5035" max="5035" width="13.875" style="125" customWidth="1"/>
    <col min="5036" max="5036" width="19.25" style="125" customWidth="1"/>
    <col min="5037" max="5037" width="16.625" style="125" customWidth="1"/>
    <col min="5038" max="5254" width="11" style="125"/>
    <col min="5255" max="5255" width="7.875" style="125" customWidth="1"/>
    <col min="5256" max="5256" width="59.375" style="125" customWidth="1"/>
    <col min="5257" max="5258" width="16" style="125" customWidth="1"/>
    <col min="5259" max="5285" width="16.875" style="125" customWidth="1"/>
    <col min="5286" max="5288" width="25.375" style="125" customWidth="1"/>
    <col min="5289" max="5289" width="21.25" style="125" customWidth="1"/>
    <col min="5290" max="5290" width="11.75" style="125" customWidth="1"/>
    <col min="5291" max="5291" width="13.875" style="125" customWidth="1"/>
    <col min="5292" max="5292" width="19.25" style="125" customWidth="1"/>
    <col min="5293" max="5293" width="16.625" style="125" customWidth="1"/>
    <col min="5294" max="5510" width="11" style="125"/>
    <col min="5511" max="5511" width="7.875" style="125" customWidth="1"/>
    <col min="5512" max="5512" width="59.375" style="125" customWidth="1"/>
    <col min="5513" max="5514" width="16" style="125" customWidth="1"/>
    <col min="5515" max="5541" width="16.875" style="125" customWidth="1"/>
    <col min="5542" max="5544" width="25.375" style="125" customWidth="1"/>
    <col min="5545" max="5545" width="21.25" style="125" customWidth="1"/>
    <col min="5546" max="5546" width="11.75" style="125" customWidth="1"/>
    <col min="5547" max="5547" width="13.875" style="125" customWidth="1"/>
    <col min="5548" max="5548" width="19.25" style="125" customWidth="1"/>
    <col min="5549" max="5549" width="16.625" style="125" customWidth="1"/>
    <col min="5550" max="5766" width="11" style="125"/>
    <col min="5767" max="5767" width="7.875" style="125" customWidth="1"/>
    <col min="5768" max="5768" width="59.375" style="125" customWidth="1"/>
    <col min="5769" max="5770" width="16" style="125" customWidth="1"/>
    <col min="5771" max="5797" width="16.875" style="125" customWidth="1"/>
    <col min="5798" max="5800" width="25.375" style="125" customWidth="1"/>
    <col min="5801" max="5801" width="21.25" style="125" customWidth="1"/>
    <col min="5802" max="5802" width="11.75" style="125" customWidth="1"/>
    <col min="5803" max="5803" width="13.875" style="125" customWidth="1"/>
    <col min="5804" max="5804" width="19.25" style="125" customWidth="1"/>
    <col min="5805" max="5805" width="16.625" style="125" customWidth="1"/>
    <col min="5806" max="6022" width="11" style="125"/>
    <col min="6023" max="6023" width="7.875" style="125" customWidth="1"/>
    <col min="6024" max="6024" width="59.375" style="125" customWidth="1"/>
    <col min="6025" max="6026" width="16" style="125" customWidth="1"/>
    <col min="6027" max="6053" width="16.875" style="125" customWidth="1"/>
    <col min="6054" max="6056" width="25.375" style="125" customWidth="1"/>
    <col min="6057" max="6057" width="21.25" style="125" customWidth="1"/>
    <col min="6058" max="6058" width="11.75" style="125" customWidth="1"/>
    <col min="6059" max="6059" width="13.875" style="125" customWidth="1"/>
    <col min="6060" max="6060" width="19.25" style="125" customWidth="1"/>
    <col min="6061" max="6061" width="16.625" style="125" customWidth="1"/>
    <col min="6062" max="6278" width="11" style="125"/>
    <col min="6279" max="6279" width="7.875" style="125" customWidth="1"/>
    <col min="6280" max="6280" width="59.375" style="125" customWidth="1"/>
    <col min="6281" max="6282" width="16" style="125" customWidth="1"/>
    <col min="6283" max="6309" width="16.875" style="125" customWidth="1"/>
    <col min="6310" max="6312" width="25.375" style="125" customWidth="1"/>
    <col min="6313" max="6313" width="21.25" style="125" customWidth="1"/>
    <col min="6314" max="6314" width="11.75" style="125" customWidth="1"/>
    <col min="6315" max="6315" width="13.875" style="125" customWidth="1"/>
    <col min="6316" max="6316" width="19.25" style="125" customWidth="1"/>
    <col min="6317" max="6317" width="16.625" style="125" customWidth="1"/>
    <col min="6318" max="6534" width="11" style="125"/>
    <col min="6535" max="6535" width="7.875" style="125" customWidth="1"/>
    <col min="6536" max="6536" width="59.375" style="125" customWidth="1"/>
    <col min="6537" max="6538" width="16" style="125" customWidth="1"/>
    <col min="6539" max="6565" width="16.875" style="125" customWidth="1"/>
    <col min="6566" max="6568" width="25.375" style="125" customWidth="1"/>
    <col min="6569" max="6569" width="21.25" style="125" customWidth="1"/>
    <col min="6570" max="6570" width="11.75" style="125" customWidth="1"/>
    <col min="6571" max="6571" width="13.875" style="125" customWidth="1"/>
    <col min="6572" max="6572" width="19.25" style="125" customWidth="1"/>
    <col min="6573" max="6573" width="16.625" style="125" customWidth="1"/>
    <col min="6574" max="6790" width="11" style="125"/>
    <col min="6791" max="6791" width="7.875" style="125" customWidth="1"/>
    <col min="6792" max="6792" width="59.375" style="125" customWidth="1"/>
    <col min="6793" max="6794" width="16" style="125" customWidth="1"/>
    <col min="6795" max="6821" width="16.875" style="125" customWidth="1"/>
    <col min="6822" max="6824" width="25.375" style="125" customWidth="1"/>
    <col min="6825" max="6825" width="21.25" style="125" customWidth="1"/>
    <col min="6826" max="6826" width="11.75" style="125" customWidth="1"/>
    <col min="6827" max="6827" width="13.875" style="125" customWidth="1"/>
    <col min="6828" max="6828" width="19.25" style="125" customWidth="1"/>
    <col min="6829" max="6829" width="16.625" style="125" customWidth="1"/>
    <col min="6830" max="7046" width="11" style="125"/>
    <col min="7047" max="7047" width="7.875" style="125" customWidth="1"/>
    <col min="7048" max="7048" width="59.375" style="125" customWidth="1"/>
    <col min="7049" max="7050" width="16" style="125" customWidth="1"/>
    <col min="7051" max="7077" width="16.875" style="125" customWidth="1"/>
    <col min="7078" max="7080" width="25.375" style="125" customWidth="1"/>
    <col min="7081" max="7081" width="21.25" style="125" customWidth="1"/>
    <col min="7082" max="7082" width="11.75" style="125" customWidth="1"/>
    <col min="7083" max="7083" width="13.875" style="125" customWidth="1"/>
    <col min="7084" max="7084" width="19.25" style="125" customWidth="1"/>
    <col min="7085" max="7085" width="16.625" style="125" customWidth="1"/>
    <col min="7086" max="7302" width="11" style="125"/>
    <col min="7303" max="7303" width="7.875" style="125" customWidth="1"/>
    <col min="7304" max="7304" width="59.375" style="125" customWidth="1"/>
    <col min="7305" max="7306" width="16" style="125" customWidth="1"/>
    <col min="7307" max="7333" width="16.875" style="125" customWidth="1"/>
    <col min="7334" max="7336" width="25.375" style="125" customWidth="1"/>
    <col min="7337" max="7337" width="21.25" style="125" customWidth="1"/>
    <col min="7338" max="7338" width="11.75" style="125" customWidth="1"/>
    <col min="7339" max="7339" width="13.875" style="125" customWidth="1"/>
    <col min="7340" max="7340" width="19.25" style="125" customWidth="1"/>
    <col min="7341" max="7341" width="16.625" style="125" customWidth="1"/>
    <col min="7342" max="7558" width="11" style="125"/>
    <col min="7559" max="7559" width="7.875" style="125" customWidth="1"/>
    <col min="7560" max="7560" width="59.375" style="125" customWidth="1"/>
    <col min="7561" max="7562" width="16" style="125" customWidth="1"/>
    <col min="7563" max="7589" width="16.875" style="125" customWidth="1"/>
    <col min="7590" max="7592" width="25.375" style="125" customWidth="1"/>
    <col min="7593" max="7593" width="21.25" style="125" customWidth="1"/>
    <col min="7594" max="7594" width="11.75" style="125" customWidth="1"/>
    <col min="7595" max="7595" width="13.875" style="125" customWidth="1"/>
    <col min="7596" max="7596" width="19.25" style="125" customWidth="1"/>
    <col min="7597" max="7597" width="16.625" style="125" customWidth="1"/>
    <col min="7598" max="7814" width="11" style="125"/>
    <col min="7815" max="7815" width="7.875" style="125" customWidth="1"/>
    <col min="7816" max="7816" width="59.375" style="125" customWidth="1"/>
    <col min="7817" max="7818" width="16" style="125" customWidth="1"/>
    <col min="7819" max="7845" width="16.875" style="125" customWidth="1"/>
    <col min="7846" max="7848" width="25.375" style="125" customWidth="1"/>
    <col min="7849" max="7849" width="21.25" style="125" customWidth="1"/>
    <col min="7850" max="7850" width="11.75" style="125" customWidth="1"/>
    <col min="7851" max="7851" width="13.875" style="125" customWidth="1"/>
    <col min="7852" max="7852" width="19.25" style="125" customWidth="1"/>
    <col min="7853" max="7853" width="16.625" style="125" customWidth="1"/>
    <col min="7854" max="8070" width="11" style="125"/>
    <col min="8071" max="8071" width="7.875" style="125" customWidth="1"/>
    <col min="8072" max="8072" width="59.375" style="125" customWidth="1"/>
    <col min="8073" max="8074" width="16" style="125" customWidth="1"/>
    <col min="8075" max="8101" width="16.875" style="125" customWidth="1"/>
    <col min="8102" max="8104" width="25.375" style="125" customWidth="1"/>
    <col min="8105" max="8105" width="21.25" style="125" customWidth="1"/>
    <col min="8106" max="8106" width="11.75" style="125" customWidth="1"/>
    <col min="8107" max="8107" width="13.875" style="125" customWidth="1"/>
    <col min="8108" max="8108" width="19.25" style="125" customWidth="1"/>
    <col min="8109" max="8109" width="16.625" style="125" customWidth="1"/>
    <col min="8110" max="8326" width="11" style="125"/>
    <col min="8327" max="8327" width="7.875" style="125" customWidth="1"/>
    <col min="8328" max="8328" width="59.375" style="125" customWidth="1"/>
    <col min="8329" max="8330" width="16" style="125" customWidth="1"/>
    <col min="8331" max="8357" width="16.875" style="125" customWidth="1"/>
    <col min="8358" max="8360" width="25.375" style="125" customWidth="1"/>
    <col min="8361" max="8361" width="21.25" style="125" customWidth="1"/>
    <col min="8362" max="8362" width="11.75" style="125" customWidth="1"/>
    <col min="8363" max="8363" width="13.875" style="125" customWidth="1"/>
    <col min="8364" max="8364" width="19.25" style="125" customWidth="1"/>
    <col min="8365" max="8365" width="16.625" style="125" customWidth="1"/>
    <col min="8366" max="8582" width="11" style="125"/>
    <col min="8583" max="8583" width="7.875" style="125" customWidth="1"/>
    <col min="8584" max="8584" width="59.375" style="125" customWidth="1"/>
    <col min="8585" max="8586" width="16" style="125" customWidth="1"/>
    <col min="8587" max="8613" width="16.875" style="125" customWidth="1"/>
    <col min="8614" max="8616" width="25.375" style="125" customWidth="1"/>
    <col min="8617" max="8617" width="21.25" style="125" customWidth="1"/>
    <col min="8618" max="8618" width="11.75" style="125" customWidth="1"/>
    <col min="8619" max="8619" width="13.875" style="125" customWidth="1"/>
    <col min="8620" max="8620" width="19.25" style="125" customWidth="1"/>
    <col min="8621" max="8621" width="16.625" style="125" customWidth="1"/>
    <col min="8622" max="8838" width="11" style="125"/>
    <col min="8839" max="8839" width="7.875" style="125" customWidth="1"/>
    <col min="8840" max="8840" width="59.375" style="125" customWidth="1"/>
    <col min="8841" max="8842" width="16" style="125" customWidth="1"/>
    <col min="8843" max="8869" width="16.875" style="125" customWidth="1"/>
    <col min="8870" max="8872" width="25.375" style="125" customWidth="1"/>
    <col min="8873" max="8873" width="21.25" style="125" customWidth="1"/>
    <col min="8874" max="8874" width="11.75" style="125" customWidth="1"/>
    <col min="8875" max="8875" width="13.875" style="125" customWidth="1"/>
    <col min="8876" max="8876" width="19.25" style="125" customWidth="1"/>
    <col min="8877" max="8877" width="16.625" style="125" customWidth="1"/>
    <col min="8878" max="9094" width="11" style="125"/>
    <col min="9095" max="9095" width="7.875" style="125" customWidth="1"/>
    <col min="9096" max="9096" width="59.375" style="125" customWidth="1"/>
    <col min="9097" max="9098" width="16" style="125" customWidth="1"/>
    <col min="9099" max="9125" width="16.875" style="125" customWidth="1"/>
    <col min="9126" max="9128" width="25.375" style="125" customWidth="1"/>
    <col min="9129" max="9129" width="21.25" style="125" customWidth="1"/>
    <col min="9130" max="9130" width="11.75" style="125" customWidth="1"/>
    <col min="9131" max="9131" width="13.875" style="125" customWidth="1"/>
    <col min="9132" max="9132" width="19.25" style="125" customWidth="1"/>
    <col min="9133" max="9133" width="16.625" style="125" customWidth="1"/>
    <col min="9134" max="9350" width="11" style="125"/>
    <col min="9351" max="9351" width="7.875" style="125" customWidth="1"/>
    <col min="9352" max="9352" width="59.375" style="125" customWidth="1"/>
    <col min="9353" max="9354" width="16" style="125" customWidth="1"/>
    <col min="9355" max="9381" width="16.875" style="125" customWidth="1"/>
    <col min="9382" max="9384" width="25.375" style="125" customWidth="1"/>
    <col min="9385" max="9385" width="21.25" style="125" customWidth="1"/>
    <col min="9386" max="9386" width="11.75" style="125" customWidth="1"/>
    <col min="9387" max="9387" width="13.875" style="125" customWidth="1"/>
    <col min="9388" max="9388" width="19.25" style="125" customWidth="1"/>
    <col min="9389" max="9389" width="16.625" style="125" customWidth="1"/>
    <col min="9390" max="9606" width="11" style="125"/>
    <col min="9607" max="9607" width="7.875" style="125" customWidth="1"/>
    <col min="9608" max="9608" width="59.375" style="125" customWidth="1"/>
    <col min="9609" max="9610" width="16" style="125" customWidth="1"/>
    <col min="9611" max="9637" width="16.875" style="125" customWidth="1"/>
    <col min="9638" max="9640" width="25.375" style="125" customWidth="1"/>
    <col min="9641" max="9641" width="21.25" style="125" customWidth="1"/>
    <col min="9642" max="9642" width="11.75" style="125" customWidth="1"/>
    <col min="9643" max="9643" width="13.875" style="125" customWidth="1"/>
    <col min="9644" max="9644" width="19.25" style="125" customWidth="1"/>
    <col min="9645" max="9645" width="16.625" style="125" customWidth="1"/>
    <col min="9646" max="9862" width="11" style="125"/>
    <col min="9863" max="9863" width="7.875" style="125" customWidth="1"/>
    <col min="9864" max="9864" width="59.375" style="125" customWidth="1"/>
    <col min="9865" max="9866" width="16" style="125" customWidth="1"/>
    <col min="9867" max="9893" width="16.875" style="125" customWidth="1"/>
    <col min="9894" max="9896" width="25.375" style="125" customWidth="1"/>
    <col min="9897" max="9897" width="21.25" style="125" customWidth="1"/>
    <col min="9898" max="9898" width="11.75" style="125" customWidth="1"/>
    <col min="9899" max="9899" width="13.875" style="125" customWidth="1"/>
    <col min="9900" max="9900" width="19.25" style="125" customWidth="1"/>
    <col min="9901" max="9901" width="16.625" style="125" customWidth="1"/>
    <col min="9902" max="10118" width="11" style="125"/>
    <col min="10119" max="10119" width="7.875" style="125" customWidth="1"/>
    <col min="10120" max="10120" width="59.375" style="125" customWidth="1"/>
    <col min="10121" max="10122" width="16" style="125" customWidth="1"/>
    <col min="10123" max="10149" width="16.875" style="125" customWidth="1"/>
    <col min="10150" max="10152" width="25.375" style="125" customWidth="1"/>
    <col min="10153" max="10153" width="21.25" style="125" customWidth="1"/>
    <col min="10154" max="10154" width="11.75" style="125" customWidth="1"/>
    <col min="10155" max="10155" width="13.875" style="125" customWidth="1"/>
    <col min="10156" max="10156" width="19.25" style="125" customWidth="1"/>
    <col min="10157" max="10157" width="16.625" style="125" customWidth="1"/>
    <col min="10158" max="10374" width="11" style="125"/>
    <col min="10375" max="10375" width="7.875" style="125" customWidth="1"/>
    <col min="10376" max="10376" width="59.375" style="125" customWidth="1"/>
    <col min="10377" max="10378" width="16" style="125" customWidth="1"/>
    <col min="10379" max="10405" width="16.875" style="125" customWidth="1"/>
    <col min="10406" max="10408" width="25.375" style="125" customWidth="1"/>
    <col min="10409" max="10409" width="21.25" style="125" customWidth="1"/>
    <col min="10410" max="10410" width="11.75" style="125" customWidth="1"/>
    <col min="10411" max="10411" width="13.875" style="125" customWidth="1"/>
    <col min="10412" max="10412" width="19.25" style="125" customWidth="1"/>
    <col min="10413" max="10413" width="16.625" style="125" customWidth="1"/>
    <col min="10414" max="10630" width="11" style="125"/>
    <col min="10631" max="10631" width="7.875" style="125" customWidth="1"/>
    <col min="10632" max="10632" width="59.375" style="125" customWidth="1"/>
    <col min="10633" max="10634" width="16" style="125" customWidth="1"/>
    <col min="10635" max="10661" width="16.875" style="125" customWidth="1"/>
    <col min="10662" max="10664" width="25.375" style="125" customWidth="1"/>
    <col min="10665" max="10665" width="21.25" style="125" customWidth="1"/>
    <col min="10666" max="10666" width="11.75" style="125" customWidth="1"/>
    <col min="10667" max="10667" width="13.875" style="125" customWidth="1"/>
    <col min="10668" max="10668" width="19.25" style="125" customWidth="1"/>
    <col min="10669" max="10669" width="16.625" style="125" customWidth="1"/>
    <col min="10670" max="10886" width="11" style="125"/>
    <col min="10887" max="10887" width="7.875" style="125" customWidth="1"/>
    <col min="10888" max="10888" width="59.375" style="125" customWidth="1"/>
    <col min="10889" max="10890" width="16" style="125" customWidth="1"/>
    <col min="10891" max="10917" width="16.875" style="125" customWidth="1"/>
    <col min="10918" max="10920" width="25.375" style="125" customWidth="1"/>
    <col min="10921" max="10921" width="21.25" style="125" customWidth="1"/>
    <col min="10922" max="10922" width="11.75" style="125" customWidth="1"/>
    <col min="10923" max="10923" width="13.875" style="125" customWidth="1"/>
    <col min="10924" max="10924" width="19.25" style="125" customWidth="1"/>
    <col min="10925" max="10925" width="16.625" style="125" customWidth="1"/>
    <col min="10926" max="11142" width="11" style="125"/>
    <col min="11143" max="11143" width="7.875" style="125" customWidth="1"/>
    <col min="11144" max="11144" width="59.375" style="125" customWidth="1"/>
    <col min="11145" max="11146" width="16" style="125" customWidth="1"/>
    <col min="11147" max="11173" width="16.875" style="125" customWidth="1"/>
    <col min="11174" max="11176" width="25.375" style="125" customWidth="1"/>
    <col min="11177" max="11177" width="21.25" style="125" customWidth="1"/>
    <col min="11178" max="11178" width="11.75" style="125" customWidth="1"/>
    <col min="11179" max="11179" width="13.875" style="125" customWidth="1"/>
    <col min="11180" max="11180" width="19.25" style="125" customWidth="1"/>
    <col min="11181" max="11181" width="16.625" style="125" customWidth="1"/>
    <col min="11182" max="11398" width="11" style="125"/>
    <col min="11399" max="11399" width="7.875" style="125" customWidth="1"/>
    <col min="11400" max="11400" width="59.375" style="125" customWidth="1"/>
    <col min="11401" max="11402" width="16" style="125" customWidth="1"/>
    <col min="11403" max="11429" width="16.875" style="125" customWidth="1"/>
    <col min="11430" max="11432" width="25.375" style="125" customWidth="1"/>
    <col min="11433" max="11433" width="21.25" style="125" customWidth="1"/>
    <col min="11434" max="11434" width="11.75" style="125" customWidth="1"/>
    <col min="11435" max="11435" width="13.875" style="125" customWidth="1"/>
    <col min="11436" max="11436" width="19.25" style="125" customWidth="1"/>
    <col min="11437" max="11437" width="16.625" style="125" customWidth="1"/>
    <col min="11438" max="11654" width="11" style="125"/>
    <col min="11655" max="11655" width="7.875" style="125" customWidth="1"/>
    <col min="11656" max="11656" width="59.375" style="125" customWidth="1"/>
    <col min="11657" max="11658" width="16" style="125" customWidth="1"/>
    <col min="11659" max="11685" width="16.875" style="125" customWidth="1"/>
    <col min="11686" max="11688" width="25.375" style="125" customWidth="1"/>
    <col min="11689" max="11689" width="21.25" style="125" customWidth="1"/>
    <col min="11690" max="11690" width="11.75" style="125" customWidth="1"/>
    <col min="11691" max="11691" width="13.875" style="125" customWidth="1"/>
    <col min="11692" max="11692" width="19.25" style="125" customWidth="1"/>
    <col min="11693" max="11693" width="16.625" style="125" customWidth="1"/>
    <col min="11694" max="11910" width="11" style="125"/>
    <col min="11911" max="11911" width="7.875" style="125" customWidth="1"/>
    <col min="11912" max="11912" width="59.375" style="125" customWidth="1"/>
    <col min="11913" max="11914" width="16" style="125" customWidth="1"/>
    <col min="11915" max="11941" width="16.875" style="125" customWidth="1"/>
    <col min="11942" max="11944" width="25.375" style="125" customWidth="1"/>
    <col min="11945" max="11945" width="21.25" style="125" customWidth="1"/>
    <col min="11946" max="11946" width="11.75" style="125" customWidth="1"/>
    <col min="11947" max="11947" width="13.875" style="125" customWidth="1"/>
    <col min="11948" max="11948" width="19.25" style="125" customWidth="1"/>
    <col min="11949" max="11949" width="16.625" style="125" customWidth="1"/>
    <col min="11950" max="12166" width="11" style="125"/>
    <col min="12167" max="12167" width="7.875" style="125" customWidth="1"/>
    <col min="12168" max="12168" width="59.375" style="125" customWidth="1"/>
    <col min="12169" max="12170" width="16" style="125" customWidth="1"/>
    <col min="12171" max="12197" width="16.875" style="125" customWidth="1"/>
    <col min="12198" max="12200" width="25.375" style="125" customWidth="1"/>
    <col min="12201" max="12201" width="21.25" style="125" customWidth="1"/>
    <col min="12202" max="12202" width="11.75" style="125" customWidth="1"/>
    <col min="12203" max="12203" width="13.875" style="125" customWidth="1"/>
    <col min="12204" max="12204" width="19.25" style="125" customWidth="1"/>
    <col min="12205" max="12205" width="16.625" style="125" customWidth="1"/>
    <col min="12206" max="12422" width="11" style="125"/>
    <col min="12423" max="12423" width="7.875" style="125" customWidth="1"/>
    <col min="12424" max="12424" width="59.375" style="125" customWidth="1"/>
    <col min="12425" max="12426" width="16" style="125" customWidth="1"/>
    <col min="12427" max="12453" width="16.875" style="125" customWidth="1"/>
    <col min="12454" max="12456" width="25.375" style="125" customWidth="1"/>
    <col min="12457" max="12457" width="21.25" style="125" customWidth="1"/>
    <col min="12458" max="12458" width="11.75" style="125" customWidth="1"/>
    <col min="12459" max="12459" width="13.875" style="125" customWidth="1"/>
    <col min="12460" max="12460" width="19.25" style="125" customWidth="1"/>
    <col min="12461" max="12461" width="16.625" style="125" customWidth="1"/>
    <col min="12462" max="12678" width="11" style="125"/>
    <col min="12679" max="12679" width="7.875" style="125" customWidth="1"/>
    <col min="12680" max="12680" width="59.375" style="125" customWidth="1"/>
    <col min="12681" max="12682" width="16" style="125" customWidth="1"/>
    <col min="12683" max="12709" width="16.875" style="125" customWidth="1"/>
    <col min="12710" max="12712" width="25.375" style="125" customWidth="1"/>
    <col min="12713" max="12713" width="21.25" style="125" customWidth="1"/>
    <col min="12714" max="12714" width="11.75" style="125" customWidth="1"/>
    <col min="12715" max="12715" width="13.875" style="125" customWidth="1"/>
    <col min="12716" max="12716" width="19.25" style="125" customWidth="1"/>
    <col min="12717" max="12717" width="16.625" style="125" customWidth="1"/>
    <col min="12718" max="12934" width="11" style="125"/>
    <col min="12935" max="12935" width="7.875" style="125" customWidth="1"/>
    <col min="12936" max="12936" width="59.375" style="125" customWidth="1"/>
    <col min="12937" max="12938" width="16" style="125" customWidth="1"/>
    <col min="12939" max="12965" width="16.875" style="125" customWidth="1"/>
    <col min="12966" max="12968" width="25.375" style="125" customWidth="1"/>
    <col min="12969" max="12969" width="21.25" style="125" customWidth="1"/>
    <col min="12970" max="12970" width="11.75" style="125" customWidth="1"/>
    <col min="12971" max="12971" width="13.875" style="125" customWidth="1"/>
    <col min="12972" max="12972" width="19.25" style="125" customWidth="1"/>
    <col min="12973" max="12973" width="16.625" style="125" customWidth="1"/>
    <col min="12974" max="13190" width="11" style="125"/>
    <col min="13191" max="13191" width="7.875" style="125" customWidth="1"/>
    <col min="13192" max="13192" width="59.375" style="125" customWidth="1"/>
    <col min="13193" max="13194" width="16" style="125" customWidth="1"/>
    <col min="13195" max="13221" width="16.875" style="125" customWidth="1"/>
    <col min="13222" max="13224" width="25.375" style="125" customWidth="1"/>
    <col min="13225" max="13225" width="21.25" style="125" customWidth="1"/>
    <col min="13226" max="13226" width="11.75" style="125" customWidth="1"/>
    <col min="13227" max="13227" width="13.875" style="125" customWidth="1"/>
    <col min="13228" max="13228" width="19.25" style="125" customWidth="1"/>
    <col min="13229" max="13229" width="16.625" style="125" customWidth="1"/>
    <col min="13230" max="13446" width="11" style="125"/>
    <col min="13447" max="13447" width="7.875" style="125" customWidth="1"/>
    <col min="13448" max="13448" width="59.375" style="125" customWidth="1"/>
    <col min="13449" max="13450" width="16" style="125" customWidth="1"/>
    <col min="13451" max="13477" width="16.875" style="125" customWidth="1"/>
    <col min="13478" max="13480" width="25.375" style="125" customWidth="1"/>
    <col min="13481" max="13481" width="21.25" style="125" customWidth="1"/>
    <col min="13482" max="13482" width="11.75" style="125" customWidth="1"/>
    <col min="13483" max="13483" width="13.875" style="125" customWidth="1"/>
    <col min="13484" max="13484" width="19.25" style="125" customWidth="1"/>
    <col min="13485" max="13485" width="16.625" style="125" customWidth="1"/>
    <col min="13486" max="13702" width="11" style="125"/>
    <col min="13703" max="13703" width="7.875" style="125" customWidth="1"/>
    <col min="13704" max="13704" width="59.375" style="125" customWidth="1"/>
    <col min="13705" max="13706" width="16" style="125" customWidth="1"/>
    <col min="13707" max="13733" width="16.875" style="125" customWidth="1"/>
    <col min="13734" max="13736" width="25.375" style="125" customWidth="1"/>
    <col min="13737" max="13737" width="21.25" style="125" customWidth="1"/>
    <col min="13738" max="13738" width="11.75" style="125" customWidth="1"/>
    <col min="13739" max="13739" width="13.875" style="125" customWidth="1"/>
    <col min="13740" max="13740" width="19.25" style="125" customWidth="1"/>
    <col min="13741" max="13741" width="16.625" style="125" customWidth="1"/>
    <col min="13742" max="13958" width="11" style="125"/>
    <col min="13959" max="13959" width="7.875" style="125" customWidth="1"/>
    <col min="13960" max="13960" width="59.375" style="125" customWidth="1"/>
    <col min="13961" max="13962" width="16" style="125" customWidth="1"/>
    <col min="13963" max="13989" width="16.875" style="125" customWidth="1"/>
    <col min="13990" max="13992" width="25.375" style="125" customWidth="1"/>
    <col min="13993" max="13993" width="21.25" style="125" customWidth="1"/>
    <col min="13994" max="13994" width="11.75" style="125" customWidth="1"/>
    <col min="13995" max="13995" width="13.875" style="125" customWidth="1"/>
    <col min="13996" max="13996" width="19.25" style="125" customWidth="1"/>
    <col min="13997" max="13997" width="16.625" style="125" customWidth="1"/>
    <col min="13998" max="14214" width="11" style="125"/>
    <col min="14215" max="14215" width="7.875" style="125" customWidth="1"/>
    <col min="14216" max="14216" width="59.375" style="125" customWidth="1"/>
    <col min="14217" max="14218" width="16" style="125" customWidth="1"/>
    <col min="14219" max="14245" width="16.875" style="125" customWidth="1"/>
    <col min="14246" max="14248" width="25.375" style="125" customWidth="1"/>
    <col min="14249" max="14249" width="21.25" style="125" customWidth="1"/>
    <col min="14250" max="14250" width="11.75" style="125" customWidth="1"/>
    <col min="14251" max="14251" width="13.875" style="125" customWidth="1"/>
    <col min="14252" max="14252" width="19.25" style="125" customWidth="1"/>
    <col min="14253" max="14253" width="16.625" style="125" customWidth="1"/>
    <col min="14254" max="14470" width="11" style="125"/>
    <col min="14471" max="14471" width="7.875" style="125" customWidth="1"/>
    <col min="14472" max="14472" width="59.375" style="125" customWidth="1"/>
    <col min="14473" max="14474" width="16" style="125" customWidth="1"/>
    <col min="14475" max="14501" width="16.875" style="125" customWidth="1"/>
    <col min="14502" max="14504" width="25.375" style="125" customWidth="1"/>
    <col min="14505" max="14505" width="21.25" style="125" customWidth="1"/>
    <col min="14506" max="14506" width="11.75" style="125" customWidth="1"/>
    <col min="14507" max="14507" width="13.875" style="125" customWidth="1"/>
    <col min="14508" max="14508" width="19.25" style="125" customWidth="1"/>
    <col min="14509" max="14509" width="16.625" style="125" customWidth="1"/>
    <col min="14510" max="14726" width="11" style="125"/>
    <col min="14727" max="14727" width="7.875" style="125" customWidth="1"/>
    <col min="14728" max="14728" width="59.375" style="125" customWidth="1"/>
    <col min="14729" max="14730" width="16" style="125" customWidth="1"/>
    <col min="14731" max="14757" width="16.875" style="125" customWidth="1"/>
    <col min="14758" max="14760" width="25.375" style="125" customWidth="1"/>
    <col min="14761" max="14761" width="21.25" style="125" customWidth="1"/>
    <col min="14762" max="14762" width="11.75" style="125" customWidth="1"/>
    <col min="14763" max="14763" width="13.875" style="125" customWidth="1"/>
    <col min="14764" max="14764" width="19.25" style="125" customWidth="1"/>
    <col min="14765" max="14765" width="16.625" style="125" customWidth="1"/>
    <col min="14766" max="14982" width="11" style="125"/>
    <col min="14983" max="14983" width="7.875" style="125" customWidth="1"/>
    <col min="14984" max="14984" width="59.375" style="125" customWidth="1"/>
    <col min="14985" max="14986" width="16" style="125" customWidth="1"/>
    <col min="14987" max="15013" width="16.875" style="125" customWidth="1"/>
    <col min="15014" max="15016" width="25.375" style="125" customWidth="1"/>
    <col min="15017" max="15017" width="21.25" style="125" customWidth="1"/>
    <col min="15018" max="15018" width="11.75" style="125" customWidth="1"/>
    <col min="15019" max="15019" width="13.875" style="125" customWidth="1"/>
    <col min="15020" max="15020" width="19.25" style="125" customWidth="1"/>
    <col min="15021" max="15021" width="16.625" style="125" customWidth="1"/>
    <col min="15022" max="15238" width="11" style="125"/>
    <col min="15239" max="15239" width="7.875" style="125" customWidth="1"/>
    <col min="15240" max="15240" width="59.375" style="125" customWidth="1"/>
    <col min="15241" max="15242" width="16" style="125" customWidth="1"/>
    <col min="15243" max="15269" width="16.875" style="125" customWidth="1"/>
    <col min="15270" max="15272" width="25.375" style="125" customWidth="1"/>
    <col min="15273" max="15273" width="21.25" style="125" customWidth="1"/>
    <col min="15274" max="15274" width="11.75" style="125" customWidth="1"/>
    <col min="15275" max="15275" width="13.875" style="125" customWidth="1"/>
    <col min="15276" max="15276" width="19.25" style="125" customWidth="1"/>
    <col min="15277" max="15277" width="16.625" style="125" customWidth="1"/>
    <col min="15278" max="15494" width="11" style="125"/>
    <col min="15495" max="15495" width="7.875" style="125" customWidth="1"/>
    <col min="15496" max="15496" width="59.375" style="125" customWidth="1"/>
    <col min="15497" max="15498" width="16" style="125" customWidth="1"/>
    <col min="15499" max="15525" width="16.875" style="125" customWidth="1"/>
    <col min="15526" max="15528" width="25.375" style="125" customWidth="1"/>
    <col min="15529" max="15529" width="21.25" style="125" customWidth="1"/>
    <col min="15530" max="15530" width="11.75" style="125" customWidth="1"/>
    <col min="15531" max="15531" width="13.875" style="125" customWidth="1"/>
    <col min="15532" max="15532" width="19.25" style="125" customWidth="1"/>
    <col min="15533" max="15533" width="16.625" style="125" customWidth="1"/>
    <col min="15534" max="15750" width="11" style="125"/>
    <col min="15751" max="15751" width="7.875" style="125" customWidth="1"/>
    <col min="15752" max="15752" width="59.375" style="125" customWidth="1"/>
    <col min="15753" max="15754" width="16" style="125" customWidth="1"/>
    <col min="15755" max="15781" width="16.875" style="125" customWidth="1"/>
    <col min="15782" max="15784" width="25.375" style="125" customWidth="1"/>
    <col min="15785" max="15785" width="21.25" style="125" customWidth="1"/>
    <col min="15786" max="15786" width="11.75" style="125" customWidth="1"/>
    <col min="15787" max="15787" width="13.875" style="125" customWidth="1"/>
    <col min="15788" max="15788" width="19.25" style="125" customWidth="1"/>
    <col min="15789" max="15789" width="16.625" style="125" customWidth="1"/>
    <col min="15790" max="16006" width="11" style="125"/>
    <col min="16007" max="16007" width="7.875" style="125" customWidth="1"/>
    <col min="16008" max="16008" width="59.375" style="125" customWidth="1"/>
    <col min="16009" max="16010" width="16" style="125" customWidth="1"/>
    <col min="16011" max="16037" width="16.875" style="125" customWidth="1"/>
    <col min="16038" max="16040" width="25.375" style="125" customWidth="1"/>
    <col min="16041" max="16041" width="21.25" style="125" customWidth="1"/>
    <col min="16042" max="16042" width="11.75" style="125" customWidth="1"/>
    <col min="16043" max="16043" width="13.875" style="125" customWidth="1"/>
    <col min="16044" max="16044" width="19.25" style="125" customWidth="1"/>
    <col min="16045" max="16045" width="16.625" style="125" customWidth="1"/>
    <col min="16046" max="16280" width="11" style="125"/>
    <col min="16281" max="16384" width="10" style="125" customWidth="1"/>
  </cols>
  <sheetData>
    <row r="1" spans="2:10" s="2" customFormat="1" ht="15" x14ac:dyDescent="0.2">
      <c r="B1" s="8"/>
    </row>
    <row r="2" spans="2:10" s="2" customFormat="1" ht="15.75" x14ac:dyDescent="0.25">
      <c r="B2" s="1" t="s">
        <v>0</v>
      </c>
      <c r="D2" s="3"/>
      <c r="E2" s="3"/>
      <c r="F2" s="3"/>
      <c r="G2" s="3"/>
      <c r="H2" s="90"/>
      <c r="I2" s="90"/>
    </row>
    <row r="3" spans="2:10" s="2" customFormat="1" ht="15.75" x14ac:dyDescent="0.25">
      <c r="B3" s="1" t="s">
        <v>1</v>
      </c>
      <c r="C3" s="5"/>
      <c r="D3" s="6" t="s">
        <v>2</v>
      </c>
      <c r="E3" s="6"/>
      <c r="F3" s="4"/>
      <c r="G3" s="4"/>
      <c r="H3" s="5"/>
      <c r="I3" s="5"/>
      <c r="J3" s="90"/>
    </row>
    <row r="4" spans="2:10" s="2" customFormat="1" ht="15.75" x14ac:dyDescent="0.25">
      <c r="B4" s="1" t="s">
        <v>361</v>
      </c>
      <c r="D4" s="3"/>
      <c r="E4" s="3"/>
      <c r="F4" s="3"/>
      <c r="G4" s="3"/>
      <c r="H4" s="90"/>
      <c r="I4" s="90"/>
    </row>
    <row r="5" spans="2:10" s="2" customFormat="1" ht="15" x14ac:dyDescent="0.2">
      <c r="B5" s="8"/>
      <c r="D5" s="181" t="s">
        <v>398</v>
      </c>
      <c r="E5" s="2">
        <v>6</v>
      </c>
    </row>
    <row r="6" spans="2:10" s="2" customFormat="1" ht="15" x14ac:dyDescent="0.2">
      <c r="B6" s="8"/>
    </row>
    <row r="7" spans="2:10" s="2" customFormat="1" ht="15.75" thickBot="1" x14ac:dyDescent="0.25">
      <c r="B7" s="8"/>
    </row>
    <row r="8" spans="2:10" s="14" customFormat="1" ht="54.95" customHeight="1" x14ac:dyDescent="0.25">
      <c r="B8" s="11" t="s">
        <v>3</v>
      </c>
      <c r="C8" s="12" t="s">
        <v>4</v>
      </c>
      <c r="D8" s="12" t="s">
        <v>5</v>
      </c>
      <c r="E8" s="12" t="s">
        <v>6</v>
      </c>
      <c r="F8" s="400" t="s">
        <v>7</v>
      </c>
      <c r="G8" s="400"/>
      <c r="H8" s="400" t="s">
        <v>8</v>
      </c>
      <c r="I8" s="400"/>
      <c r="J8" s="129" t="s">
        <v>9</v>
      </c>
    </row>
    <row r="9" spans="2:10" s="19" customFormat="1" ht="27.75" customHeight="1" x14ac:dyDescent="0.2">
      <c r="B9" s="402">
        <v>10</v>
      </c>
      <c r="C9" s="404" t="s">
        <v>248</v>
      </c>
      <c r="D9" s="15"/>
      <c r="E9" s="16"/>
      <c r="F9" s="17" t="s">
        <v>11</v>
      </c>
      <c r="G9" s="17" t="s">
        <v>12</v>
      </c>
      <c r="H9" s="17" t="s">
        <v>11</v>
      </c>
      <c r="I9" s="17" t="s">
        <v>13</v>
      </c>
      <c r="J9" s="18" t="s">
        <v>14</v>
      </c>
    </row>
    <row r="10" spans="2:10" s="19" customFormat="1" ht="27.75" customHeight="1" x14ac:dyDescent="0.2">
      <c r="B10" s="403"/>
      <c r="C10" s="405"/>
      <c r="D10" s="20"/>
      <c r="E10" s="169" t="s">
        <v>14</v>
      </c>
      <c r="F10" s="21" t="s">
        <v>15</v>
      </c>
      <c r="G10" s="21" t="s">
        <v>15</v>
      </c>
      <c r="H10" s="21" t="s">
        <v>15</v>
      </c>
      <c r="I10" s="21" t="s">
        <v>15</v>
      </c>
      <c r="J10" s="22" t="s">
        <v>15</v>
      </c>
    </row>
    <row r="11" spans="2:10" s="108" customFormat="1" x14ac:dyDescent="0.2">
      <c r="B11" s="23">
        <f>B9+0.01</f>
        <v>10.01</v>
      </c>
      <c r="C11" s="35" t="s">
        <v>249</v>
      </c>
      <c r="D11" s="141" t="s">
        <v>17</v>
      </c>
      <c r="E11" s="117">
        <v>6</v>
      </c>
      <c r="F11" s="142">
        <v>24711872.093023255</v>
      </c>
      <c r="G11" s="27">
        <f>E11*F11</f>
        <v>148271232.55813953</v>
      </c>
      <c r="H11" s="111"/>
      <c r="I11" s="111">
        <f>E11*H11</f>
        <v>0</v>
      </c>
      <c r="J11" s="112">
        <f>G11+I11</f>
        <v>148271232.55813953</v>
      </c>
    </row>
    <row r="12" spans="2:10" s="108" customFormat="1" x14ac:dyDescent="0.2">
      <c r="B12" s="23">
        <f>B11+0.01</f>
        <v>10.02</v>
      </c>
      <c r="C12" s="35" t="s">
        <v>250</v>
      </c>
      <c r="D12" s="141" t="s">
        <v>17</v>
      </c>
      <c r="E12" s="117">
        <v>6</v>
      </c>
      <c r="F12" s="143">
        <v>2822790.6976744188</v>
      </c>
      <c r="G12" s="27">
        <f t="shared" ref="G12:G64" si="0">E12*F12</f>
        <v>16936744.186046511</v>
      </c>
      <c r="H12" s="111"/>
      <c r="I12" s="111">
        <f t="shared" ref="I12:I64" si="1">E12*H12</f>
        <v>0</v>
      </c>
      <c r="J12" s="112">
        <f t="shared" ref="J12:J64" si="2">G12+I12</f>
        <v>16936744.186046511</v>
      </c>
    </row>
    <row r="13" spans="2:10" s="108" customFormat="1" x14ac:dyDescent="0.2">
      <c r="B13" s="23">
        <f t="shared" ref="B13:B63" si="3">B12+0.01</f>
        <v>10.029999999999999</v>
      </c>
      <c r="C13" s="35" t="s">
        <v>251</v>
      </c>
      <c r="D13" s="141" t="s">
        <v>17</v>
      </c>
      <c r="E13" s="117">
        <v>6</v>
      </c>
      <c r="F13" s="143">
        <v>691860.46511627908</v>
      </c>
      <c r="G13" s="27">
        <f t="shared" si="0"/>
        <v>4151162.7906976743</v>
      </c>
      <c r="H13" s="111"/>
      <c r="I13" s="111">
        <f t="shared" si="1"/>
        <v>0</v>
      </c>
      <c r="J13" s="112">
        <f t="shared" si="2"/>
        <v>4151162.7906976743</v>
      </c>
    </row>
    <row r="14" spans="2:10" s="108" customFormat="1" x14ac:dyDescent="0.2">
      <c r="B14" s="23">
        <f t="shared" si="3"/>
        <v>10.039999999999999</v>
      </c>
      <c r="C14" s="35" t="s">
        <v>252</v>
      </c>
      <c r="D14" s="141" t="s">
        <v>17</v>
      </c>
      <c r="E14" s="117">
        <v>6</v>
      </c>
      <c r="F14" s="142">
        <v>4545523.2558139535</v>
      </c>
      <c r="G14" s="27">
        <f t="shared" si="0"/>
        <v>27273139.534883723</v>
      </c>
      <c r="H14" s="111"/>
      <c r="I14" s="111">
        <f t="shared" si="1"/>
        <v>0</v>
      </c>
      <c r="J14" s="112">
        <f t="shared" si="2"/>
        <v>27273139.534883723</v>
      </c>
    </row>
    <row r="15" spans="2:10" s="108" customFormat="1" x14ac:dyDescent="0.2">
      <c r="B15" s="23">
        <f t="shared" si="3"/>
        <v>10.049999999999999</v>
      </c>
      <c r="C15" s="35" t="s">
        <v>253</v>
      </c>
      <c r="D15" s="141" t="s">
        <v>17</v>
      </c>
      <c r="E15" s="117">
        <v>240</v>
      </c>
      <c r="F15" s="143">
        <v>236616.27906976745</v>
      </c>
      <c r="G15" s="27">
        <f t="shared" si="0"/>
        <v>56787906.97674419</v>
      </c>
      <c r="H15" s="111"/>
      <c r="I15" s="111">
        <f t="shared" si="1"/>
        <v>0</v>
      </c>
      <c r="J15" s="112">
        <f t="shared" si="2"/>
        <v>56787906.97674419</v>
      </c>
    </row>
    <row r="16" spans="2:10" s="108" customFormat="1" ht="14.25" x14ac:dyDescent="0.2">
      <c r="B16" s="23">
        <f t="shared" si="3"/>
        <v>10.059999999999999</v>
      </c>
      <c r="C16" s="35" t="s">
        <v>254</v>
      </c>
      <c r="D16" s="141" t="s">
        <v>17</v>
      </c>
      <c r="E16" s="117">
        <v>6</v>
      </c>
      <c r="F16" s="167">
        <v>632360.46511627908</v>
      </c>
      <c r="G16" s="27">
        <f t="shared" si="0"/>
        <v>3794162.7906976743</v>
      </c>
      <c r="H16" s="111"/>
      <c r="I16" s="111">
        <f t="shared" si="1"/>
        <v>0</v>
      </c>
      <c r="J16" s="112">
        <f t="shared" si="2"/>
        <v>3794162.7906976743</v>
      </c>
    </row>
    <row r="17" spans="2:10" s="108" customFormat="1" x14ac:dyDescent="0.2">
      <c r="B17" s="23">
        <f t="shared" si="3"/>
        <v>10.069999999999999</v>
      </c>
      <c r="C17" s="35" t="s">
        <v>255</v>
      </c>
      <c r="D17" s="141" t="s">
        <v>17</v>
      </c>
      <c r="E17" s="117">
        <v>6</v>
      </c>
      <c r="F17" s="142">
        <v>24709104.651162792</v>
      </c>
      <c r="G17" s="27">
        <f t="shared" si="0"/>
        <v>148254627.90697676</v>
      </c>
      <c r="H17" s="111"/>
      <c r="I17" s="111">
        <f t="shared" si="1"/>
        <v>0</v>
      </c>
      <c r="J17" s="112">
        <f t="shared" si="2"/>
        <v>148254627.90697676</v>
      </c>
    </row>
    <row r="18" spans="2:10" s="108" customFormat="1" x14ac:dyDescent="0.2">
      <c r="B18" s="23">
        <f t="shared" si="3"/>
        <v>10.079999999999998</v>
      </c>
      <c r="C18" s="35" t="s">
        <v>256</v>
      </c>
      <c r="D18" s="141" t="s">
        <v>17</v>
      </c>
      <c r="E18" s="117">
        <v>6</v>
      </c>
      <c r="F18" s="143">
        <v>5880813.9534883723</v>
      </c>
      <c r="G18" s="27">
        <f t="shared" si="0"/>
        <v>35284883.720930234</v>
      </c>
      <c r="H18" s="111"/>
      <c r="I18" s="111">
        <f t="shared" si="1"/>
        <v>0</v>
      </c>
      <c r="J18" s="112">
        <f t="shared" si="2"/>
        <v>35284883.720930234</v>
      </c>
    </row>
    <row r="19" spans="2:10" s="108" customFormat="1" x14ac:dyDescent="0.2">
      <c r="B19" s="23">
        <f t="shared" si="3"/>
        <v>10.089999999999998</v>
      </c>
      <c r="C19" s="35" t="s">
        <v>257</v>
      </c>
      <c r="D19" s="141" t="s">
        <v>17</v>
      </c>
      <c r="E19" s="117">
        <v>6</v>
      </c>
      <c r="F19" s="143">
        <v>592232.5581395349</v>
      </c>
      <c r="G19" s="27">
        <f t="shared" si="0"/>
        <v>3553395.3488372094</v>
      </c>
      <c r="H19" s="111"/>
      <c r="I19" s="111">
        <f t="shared" si="1"/>
        <v>0</v>
      </c>
      <c r="J19" s="112">
        <f t="shared" si="2"/>
        <v>3553395.3488372094</v>
      </c>
    </row>
    <row r="20" spans="2:10" s="108" customFormat="1" x14ac:dyDescent="0.2">
      <c r="B20" s="23">
        <f t="shared" si="3"/>
        <v>10.099999999999998</v>
      </c>
      <c r="C20" s="35" t="s">
        <v>258</v>
      </c>
      <c r="D20" s="141" t="s">
        <v>17</v>
      </c>
      <c r="E20" s="117">
        <v>6</v>
      </c>
      <c r="F20" s="142">
        <v>395329.06976744189</v>
      </c>
      <c r="G20" s="27">
        <f t="shared" si="0"/>
        <v>2371974.4186046515</v>
      </c>
      <c r="H20" s="111"/>
      <c r="I20" s="111">
        <f t="shared" si="1"/>
        <v>0</v>
      </c>
      <c r="J20" s="112">
        <f t="shared" si="2"/>
        <v>2371974.4186046515</v>
      </c>
    </row>
    <row r="21" spans="2:10" s="108" customFormat="1" x14ac:dyDescent="0.2">
      <c r="B21" s="23">
        <f t="shared" si="3"/>
        <v>10.109999999999998</v>
      </c>
      <c r="C21" s="35" t="s">
        <v>259</v>
      </c>
      <c r="D21" s="141" t="s">
        <v>17</v>
      </c>
      <c r="E21" s="117">
        <v>6</v>
      </c>
      <c r="F21" s="144">
        <v>99628</v>
      </c>
      <c r="G21" s="27">
        <f t="shared" si="0"/>
        <v>597768</v>
      </c>
      <c r="H21" s="80"/>
      <c r="I21" s="111">
        <f t="shared" si="1"/>
        <v>0</v>
      </c>
      <c r="J21" s="112">
        <f t="shared" si="2"/>
        <v>597768</v>
      </c>
    </row>
    <row r="22" spans="2:10" s="108" customFormat="1" x14ac:dyDescent="0.2">
      <c r="B22" s="23">
        <f t="shared" si="3"/>
        <v>10.119999999999997</v>
      </c>
      <c r="C22" s="35" t="s">
        <v>260</v>
      </c>
      <c r="D22" s="141" t="s">
        <v>17</v>
      </c>
      <c r="E22" s="117">
        <v>36</v>
      </c>
      <c r="F22" s="144">
        <v>138372</v>
      </c>
      <c r="G22" s="27">
        <f t="shared" si="0"/>
        <v>4981392</v>
      </c>
      <c r="H22" s="80"/>
      <c r="I22" s="111">
        <f t="shared" si="1"/>
        <v>0</v>
      </c>
      <c r="J22" s="112">
        <f t="shared" si="2"/>
        <v>4981392</v>
      </c>
    </row>
    <row r="23" spans="2:10" s="108" customFormat="1" x14ac:dyDescent="0.2">
      <c r="B23" s="23">
        <f t="shared" si="3"/>
        <v>10.129999999999997</v>
      </c>
      <c r="C23" s="35" t="s">
        <v>261</v>
      </c>
      <c r="D23" s="141" t="s">
        <v>17</v>
      </c>
      <c r="E23" s="117">
        <v>6</v>
      </c>
      <c r="F23" s="144">
        <v>23523</v>
      </c>
      <c r="G23" s="27">
        <f t="shared" si="0"/>
        <v>141138</v>
      </c>
      <c r="H23" s="80"/>
      <c r="I23" s="111">
        <f t="shared" si="1"/>
        <v>0</v>
      </c>
      <c r="J23" s="112">
        <f t="shared" si="2"/>
        <v>141138</v>
      </c>
    </row>
    <row r="24" spans="2:10" s="108" customFormat="1" x14ac:dyDescent="0.2">
      <c r="B24" s="23">
        <f t="shared" si="3"/>
        <v>10.139999999999997</v>
      </c>
      <c r="C24" s="35" t="s">
        <v>262</v>
      </c>
      <c r="D24" s="141" t="s">
        <v>17</v>
      </c>
      <c r="E24" s="117">
        <v>36</v>
      </c>
      <c r="F24" s="144">
        <v>29058</v>
      </c>
      <c r="G24" s="27">
        <f t="shared" si="0"/>
        <v>1046088</v>
      </c>
      <c r="H24" s="111"/>
      <c r="I24" s="111">
        <f t="shared" si="1"/>
        <v>0</v>
      </c>
      <c r="J24" s="112">
        <f t="shared" si="2"/>
        <v>1046088</v>
      </c>
    </row>
    <row r="25" spans="2:10" s="108" customFormat="1" x14ac:dyDescent="0.2">
      <c r="B25" s="23">
        <f t="shared" si="3"/>
        <v>10.149999999999997</v>
      </c>
      <c r="C25" s="35" t="s">
        <v>263</v>
      </c>
      <c r="D25" s="141" t="s">
        <v>17</v>
      </c>
      <c r="E25" s="117">
        <v>12</v>
      </c>
      <c r="F25" s="143">
        <v>138372.09302325582</v>
      </c>
      <c r="G25" s="27">
        <f t="shared" si="0"/>
        <v>1660465.1162790698</v>
      </c>
      <c r="H25" s="111"/>
      <c r="I25" s="111">
        <f t="shared" si="1"/>
        <v>0</v>
      </c>
      <c r="J25" s="112">
        <f t="shared" si="2"/>
        <v>1660465.1162790698</v>
      </c>
    </row>
    <row r="26" spans="2:10" s="108" customFormat="1" x14ac:dyDescent="0.2">
      <c r="B26" s="23">
        <f t="shared" si="3"/>
        <v>10.159999999999997</v>
      </c>
      <c r="C26" s="35" t="s">
        <v>264</v>
      </c>
      <c r="D26" s="141" t="s">
        <v>17</v>
      </c>
      <c r="E26" s="117">
        <v>6</v>
      </c>
      <c r="F26" s="142">
        <v>296116.27906976745</v>
      </c>
      <c r="G26" s="27">
        <f t="shared" si="0"/>
        <v>1776697.6744186047</v>
      </c>
      <c r="H26" s="111"/>
      <c r="I26" s="111">
        <f t="shared" si="1"/>
        <v>0</v>
      </c>
      <c r="J26" s="112">
        <f t="shared" si="2"/>
        <v>1776697.6744186047</v>
      </c>
    </row>
    <row r="27" spans="2:10" s="108" customFormat="1" x14ac:dyDescent="0.2">
      <c r="B27" s="23">
        <f t="shared" si="3"/>
        <v>10.169999999999996</v>
      </c>
      <c r="C27" s="35" t="s">
        <v>265</v>
      </c>
      <c r="D27" s="141" t="s">
        <v>17</v>
      </c>
      <c r="E27" s="117">
        <v>24</v>
      </c>
      <c r="F27" s="143">
        <v>59500</v>
      </c>
      <c r="G27" s="27">
        <f t="shared" si="0"/>
        <v>1428000</v>
      </c>
      <c r="H27" s="111"/>
      <c r="I27" s="111">
        <f t="shared" si="1"/>
        <v>0</v>
      </c>
      <c r="J27" s="112">
        <f t="shared" si="2"/>
        <v>1428000</v>
      </c>
    </row>
    <row r="28" spans="2:10" s="108" customFormat="1" x14ac:dyDescent="0.2">
      <c r="B28" s="23">
        <f t="shared" si="3"/>
        <v>10.179999999999996</v>
      </c>
      <c r="C28" s="35" t="s">
        <v>266</v>
      </c>
      <c r="D28" s="141" t="s">
        <v>17</v>
      </c>
      <c r="E28" s="117">
        <v>24</v>
      </c>
      <c r="F28" s="143">
        <v>59500</v>
      </c>
      <c r="G28" s="27">
        <f t="shared" si="0"/>
        <v>1428000</v>
      </c>
      <c r="H28" s="111"/>
      <c r="I28" s="111">
        <f t="shared" si="1"/>
        <v>0</v>
      </c>
      <c r="J28" s="112">
        <f t="shared" si="2"/>
        <v>1428000</v>
      </c>
    </row>
    <row r="29" spans="2:10" s="108" customFormat="1" x14ac:dyDescent="0.2">
      <c r="B29" s="23">
        <f t="shared" si="3"/>
        <v>10.189999999999996</v>
      </c>
      <c r="C29" s="35" t="s">
        <v>267</v>
      </c>
      <c r="D29" s="141" t="s">
        <v>17</v>
      </c>
      <c r="E29" s="117">
        <v>120</v>
      </c>
      <c r="F29" s="142">
        <v>59500</v>
      </c>
      <c r="G29" s="27">
        <f t="shared" si="0"/>
        <v>7140000</v>
      </c>
      <c r="H29" s="111"/>
      <c r="I29" s="111">
        <f t="shared" si="1"/>
        <v>0</v>
      </c>
      <c r="J29" s="112">
        <f t="shared" si="2"/>
        <v>7140000</v>
      </c>
    </row>
    <row r="30" spans="2:10" s="108" customFormat="1" x14ac:dyDescent="0.2">
      <c r="B30" s="23">
        <f t="shared" si="3"/>
        <v>10.199999999999996</v>
      </c>
      <c r="C30" s="35" t="s">
        <v>268</v>
      </c>
      <c r="D30" s="141" t="s">
        <v>17</v>
      </c>
      <c r="E30" s="117">
        <v>90</v>
      </c>
      <c r="F30" s="143">
        <v>9962.7906976744198</v>
      </c>
      <c r="G30" s="27">
        <f t="shared" si="0"/>
        <v>896651.16279069777</v>
      </c>
      <c r="H30" s="111"/>
      <c r="I30" s="111">
        <f t="shared" si="1"/>
        <v>0</v>
      </c>
      <c r="J30" s="112">
        <f t="shared" si="2"/>
        <v>896651.16279069777</v>
      </c>
    </row>
    <row r="31" spans="2:10" s="108" customFormat="1" x14ac:dyDescent="0.2">
      <c r="B31" s="23">
        <f t="shared" si="3"/>
        <v>10.209999999999996</v>
      </c>
      <c r="C31" s="35" t="s">
        <v>269</v>
      </c>
      <c r="D31" s="141" t="s">
        <v>17</v>
      </c>
      <c r="E31" s="117">
        <v>48</v>
      </c>
      <c r="F31" s="143">
        <v>9962.7906976744198</v>
      </c>
      <c r="G31" s="27">
        <f t="shared" si="0"/>
        <v>478213.95348837215</v>
      </c>
      <c r="H31" s="111"/>
      <c r="I31" s="111">
        <f t="shared" si="1"/>
        <v>0</v>
      </c>
      <c r="J31" s="112">
        <f t="shared" si="2"/>
        <v>478213.95348837215</v>
      </c>
    </row>
    <row r="32" spans="2:10" s="108" customFormat="1" x14ac:dyDescent="0.2">
      <c r="B32" s="23">
        <f t="shared" si="3"/>
        <v>10.219999999999995</v>
      </c>
      <c r="C32" s="35" t="s">
        <v>270</v>
      </c>
      <c r="D32" s="141" t="s">
        <v>17</v>
      </c>
      <c r="E32" s="117">
        <v>6</v>
      </c>
      <c r="F32" s="142">
        <v>1660465.1162790698</v>
      </c>
      <c r="G32" s="27">
        <f t="shared" si="0"/>
        <v>9962790.6976744197</v>
      </c>
      <c r="H32" s="111"/>
      <c r="I32" s="111">
        <f t="shared" si="1"/>
        <v>0</v>
      </c>
      <c r="J32" s="112">
        <f t="shared" si="2"/>
        <v>9962790.6976744197</v>
      </c>
    </row>
    <row r="33" spans="2:10" s="108" customFormat="1" x14ac:dyDescent="0.2">
      <c r="B33" s="23">
        <f t="shared" si="3"/>
        <v>10.229999999999995</v>
      </c>
      <c r="C33" s="35" t="s">
        <v>271</v>
      </c>
      <c r="D33" s="141" t="s">
        <v>17</v>
      </c>
      <c r="E33" s="117">
        <v>6</v>
      </c>
      <c r="F33" s="143">
        <v>96860.465116279069</v>
      </c>
      <c r="G33" s="27">
        <f t="shared" si="0"/>
        <v>581162.79069767438</v>
      </c>
      <c r="H33" s="111"/>
      <c r="I33" s="111">
        <f t="shared" si="1"/>
        <v>0</v>
      </c>
      <c r="J33" s="112">
        <f t="shared" si="2"/>
        <v>581162.79069767438</v>
      </c>
    </row>
    <row r="34" spans="2:10" s="108" customFormat="1" x14ac:dyDescent="0.2">
      <c r="B34" s="23">
        <f t="shared" si="3"/>
        <v>10.239999999999995</v>
      </c>
      <c r="C34" s="35" t="s">
        <v>272</v>
      </c>
      <c r="D34" s="141" t="s">
        <v>17</v>
      </c>
      <c r="E34" s="117">
        <v>6</v>
      </c>
      <c r="F34" s="143">
        <v>38744.186046511633</v>
      </c>
      <c r="G34" s="27">
        <f t="shared" si="0"/>
        <v>232465.1162790698</v>
      </c>
      <c r="H34" s="111"/>
      <c r="I34" s="111">
        <f t="shared" si="1"/>
        <v>0</v>
      </c>
      <c r="J34" s="112">
        <f t="shared" si="2"/>
        <v>232465.1162790698</v>
      </c>
    </row>
    <row r="35" spans="2:10" s="108" customFormat="1" x14ac:dyDescent="0.2">
      <c r="B35" s="23">
        <f t="shared" si="3"/>
        <v>10.249999999999995</v>
      </c>
      <c r="C35" s="35" t="s">
        <v>273</v>
      </c>
      <c r="D35" s="141" t="s">
        <v>17</v>
      </c>
      <c r="E35" s="117">
        <v>6</v>
      </c>
      <c r="F35" s="142">
        <v>69186.046511627908</v>
      </c>
      <c r="G35" s="27">
        <f t="shared" si="0"/>
        <v>415116.27906976745</v>
      </c>
      <c r="H35" s="111"/>
      <c r="I35" s="111">
        <f t="shared" si="1"/>
        <v>0</v>
      </c>
      <c r="J35" s="112">
        <f t="shared" si="2"/>
        <v>415116.27906976745</v>
      </c>
    </row>
    <row r="36" spans="2:10" s="108" customFormat="1" x14ac:dyDescent="0.2">
      <c r="B36" s="23">
        <f t="shared" si="3"/>
        <v>10.259999999999994</v>
      </c>
      <c r="C36" s="35" t="s">
        <v>274</v>
      </c>
      <c r="D36" s="141" t="s">
        <v>17</v>
      </c>
      <c r="E36" s="117">
        <v>12</v>
      </c>
      <c r="F36" s="143">
        <v>2352325.581395349</v>
      </c>
      <c r="G36" s="27">
        <f t="shared" si="0"/>
        <v>28227906.97674419</v>
      </c>
      <c r="H36" s="111"/>
      <c r="I36" s="111">
        <f t="shared" si="1"/>
        <v>0</v>
      </c>
      <c r="J36" s="112">
        <f t="shared" si="2"/>
        <v>28227906.97674419</v>
      </c>
    </row>
    <row r="37" spans="2:10" s="108" customFormat="1" x14ac:dyDescent="0.2">
      <c r="B37" s="23">
        <f t="shared" si="3"/>
        <v>10.269999999999994</v>
      </c>
      <c r="C37" s="35" t="s">
        <v>275</v>
      </c>
      <c r="D37" s="141" t="s">
        <v>17</v>
      </c>
      <c r="E37" s="117">
        <v>6</v>
      </c>
      <c r="F37" s="143">
        <v>117616.27906976745</v>
      </c>
      <c r="G37" s="27">
        <f t="shared" si="0"/>
        <v>705697.6744186047</v>
      </c>
      <c r="H37" s="111"/>
      <c r="I37" s="111">
        <f t="shared" si="1"/>
        <v>0</v>
      </c>
      <c r="J37" s="112">
        <f t="shared" si="2"/>
        <v>705697.6744186047</v>
      </c>
    </row>
    <row r="38" spans="2:10" s="108" customFormat="1" x14ac:dyDescent="0.2">
      <c r="B38" s="23">
        <f t="shared" si="3"/>
        <v>10.279999999999994</v>
      </c>
      <c r="C38" s="35" t="s">
        <v>276</v>
      </c>
      <c r="D38" s="141" t="s">
        <v>17</v>
      </c>
      <c r="E38" s="117">
        <v>6</v>
      </c>
      <c r="F38" s="142">
        <v>11420161.290322576</v>
      </c>
      <c r="G38" s="27">
        <f t="shared" si="0"/>
        <v>68520967.741935462</v>
      </c>
      <c r="H38" s="111"/>
      <c r="I38" s="111">
        <f t="shared" si="1"/>
        <v>0</v>
      </c>
      <c r="J38" s="112">
        <f t="shared" si="2"/>
        <v>68520967.741935462</v>
      </c>
    </row>
    <row r="39" spans="2:10" s="108" customFormat="1" x14ac:dyDescent="0.2">
      <c r="B39" s="23">
        <f t="shared" si="3"/>
        <v>10.289999999999994</v>
      </c>
      <c r="C39" s="35" t="s">
        <v>277</v>
      </c>
      <c r="D39" s="141" t="s">
        <v>17</v>
      </c>
      <c r="E39" s="117">
        <v>12</v>
      </c>
      <c r="F39" s="143">
        <v>493988.37209302327</v>
      </c>
      <c r="G39" s="27">
        <f t="shared" si="0"/>
        <v>5927860.4651162792</v>
      </c>
      <c r="H39" s="111"/>
      <c r="I39" s="111">
        <f t="shared" si="1"/>
        <v>0</v>
      </c>
      <c r="J39" s="112">
        <f t="shared" si="2"/>
        <v>5927860.4651162792</v>
      </c>
    </row>
    <row r="40" spans="2:10" s="108" customFormat="1" x14ac:dyDescent="0.2">
      <c r="B40" s="23">
        <f t="shared" si="3"/>
        <v>10.299999999999994</v>
      </c>
      <c r="C40" s="35" t="s">
        <v>278</v>
      </c>
      <c r="D40" s="141" t="s">
        <v>17</v>
      </c>
      <c r="E40" s="117">
        <v>6</v>
      </c>
      <c r="F40" s="143">
        <v>394360.46511627908</v>
      </c>
      <c r="G40" s="27">
        <f t="shared" si="0"/>
        <v>2366162.7906976743</v>
      </c>
      <c r="H40" s="111"/>
      <c r="I40" s="111">
        <f t="shared" si="1"/>
        <v>0</v>
      </c>
      <c r="J40" s="112">
        <f t="shared" si="2"/>
        <v>2366162.7906976743</v>
      </c>
    </row>
    <row r="41" spans="2:10" s="108" customFormat="1" x14ac:dyDescent="0.2">
      <c r="B41" s="23">
        <f t="shared" si="3"/>
        <v>10.309999999999993</v>
      </c>
      <c r="C41" s="35" t="s">
        <v>279</v>
      </c>
      <c r="D41" s="141" t="s">
        <v>17</v>
      </c>
      <c r="E41" s="117">
        <v>12</v>
      </c>
      <c r="F41" s="142">
        <v>235232.5581395349</v>
      </c>
      <c r="G41" s="27">
        <f t="shared" si="0"/>
        <v>2822790.6976744188</v>
      </c>
      <c r="H41" s="111"/>
      <c r="I41" s="111">
        <f t="shared" si="1"/>
        <v>0</v>
      </c>
      <c r="J41" s="112">
        <f t="shared" si="2"/>
        <v>2822790.6976744188</v>
      </c>
    </row>
    <row r="42" spans="2:10" s="108" customFormat="1" x14ac:dyDescent="0.2">
      <c r="B42" s="23">
        <f t="shared" si="3"/>
        <v>10.319999999999993</v>
      </c>
      <c r="C42" s="35" t="s">
        <v>280</v>
      </c>
      <c r="D42" s="141" t="s">
        <v>17</v>
      </c>
      <c r="E42" s="117">
        <v>6</v>
      </c>
      <c r="F42" s="143">
        <v>10080406.976744186</v>
      </c>
      <c r="G42" s="27">
        <f t="shared" si="0"/>
        <v>60482441.860465117</v>
      </c>
      <c r="H42" s="111"/>
      <c r="I42" s="111">
        <f t="shared" si="1"/>
        <v>0</v>
      </c>
      <c r="J42" s="112">
        <f t="shared" si="2"/>
        <v>60482441.860465117</v>
      </c>
    </row>
    <row r="43" spans="2:10" s="108" customFormat="1" x14ac:dyDescent="0.2">
      <c r="B43" s="23">
        <f t="shared" si="3"/>
        <v>10.329999999999993</v>
      </c>
      <c r="C43" s="35" t="s">
        <v>281</v>
      </c>
      <c r="D43" s="141" t="s">
        <v>17</v>
      </c>
      <c r="E43" s="117">
        <v>18</v>
      </c>
      <c r="F43" s="143">
        <v>138372.09302325582</v>
      </c>
      <c r="G43" s="27">
        <f t="shared" si="0"/>
        <v>2490697.6744186049</v>
      </c>
      <c r="H43" s="111"/>
      <c r="I43" s="111">
        <f t="shared" si="1"/>
        <v>0</v>
      </c>
      <c r="J43" s="112">
        <f t="shared" si="2"/>
        <v>2490697.6744186049</v>
      </c>
    </row>
    <row r="44" spans="2:10" s="108" customFormat="1" x14ac:dyDescent="0.2">
      <c r="B44" s="23">
        <f t="shared" si="3"/>
        <v>10.339999999999993</v>
      </c>
      <c r="C44" s="35" t="s">
        <v>282</v>
      </c>
      <c r="D44" s="141" t="s">
        <v>17</v>
      </c>
      <c r="E44" s="117">
        <v>0</v>
      </c>
      <c r="F44" s="142">
        <v>0</v>
      </c>
      <c r="G44" s="27">
        <f t="shared" si="0"/>
        <v>0</v>
      </c>
      <c r="H44" s="111"/>
      <c r="I44" s="111">
        <f t="shared" si="1"/>
        <v>0</v>
      </c>
      <c r="J44" s="112">
        <f t="shared" si="2"/>
        <v>0</v>
      </c>
    </row>
    <row r="45" spans="2:10" s="108" customFormat="1" ht="25.5" x14ac:dyDescent="0.2">
      <c r="B45" s="23">
        <f t="shared" si="3"/>
        <v>10.349999999999993</v>
      </c>
      <c r="C45" s="35" t="s">
        <v>283</v>
      </c>
      <c r="D45" s="141" t="s">
        <v>17</v>
      </c>
      <c r="E45" s="117">
        <v>6</v>
      </c>
      <c r="F45" s="143"/>
      <c r="G45" s="27">
        <f t="shared" si="0"/>
        <v>0</v>
      </c>
      <c r="H45" s="143">
        <v>30137441.860465057</v>
      </c>
      <c r="I45" s="111">
        <f t="shared" si="1"/>
        <v>180824651.16279036</v>
      </c>
      <c r="J45" s="112">
        <f t="shared" si="2"/>
        <v>180824651.16279036</v>
      </c>
    </row>
    <row r="46" spans="2:10" s="108" customFormat="1" ht="25.5" x14ac:dyDescent="0.2">
      <c r="B46" s="23">
        <f t="shared" si="3"/>
        <v>10.359999999999992</v>
      </c>
      <c r="C46" s="35" t="s">
        <v>284</v>
      </c>
      <c r="D46" s="141" t="s">
        <v>17</v>
      </c>
      <c r="E46" s="117">
        <v>6</v>
      </c>
      <c r="F46" s="143">
        <v>67124302</v>
      </c>
      <c r="G46" s="27">
        <f t="shared" si="0"/>
        <v>402745812</v>
      </c>
      <c r="H46" s="143">
        <v>16244080.6</v>
      </c>
      <c r="I46" s="111">
        <f t="shared" si="1"/>
        <v>97464483.599999994</v>
      </c>
      <c r="J46" s="112">
        <f t="shared" si="2"/>
        <v>500210295.60000002</v>
      </c>
    </row>
    <row r="47" spans="2:10" s="108" customFormat="1" x14ac:dyDescent="0.2">
      <c r="B47" s="23">
        <f t="shared" si="3"/>
        <v>10.369999999999992</v>
      </c>
      <c r="C47" s="35" t="s">
        <v>285</v>
      </c>
      <c r="D47" s="141" t="s">
        <v>17</v>
      </c>
      <c r="E47" s="117">
        <v>6</v>
      </c>
      <c r="F47" s="142"/>
      <c r="G47" s="27">
        <f t="shared" si="0"/>
        <v>0</v>
      </c>
      <c r="H47" s="142">
        <v>22100790.697674457</v>
      </c>
      <c r="I47" s="111">
        <f t="shared" si="1"/>
        <v>132604744.18604675</v>
      </c>
      <c r="J47" s="112">
        <f t="shared" si="2"/>
        <v>132604744.18604675</v>
      </c>
    </row>
    <row r="48" spans="2:10" s="108" customFormat="1" x14ac:dyDescent="0.2">
      <c r="B48" s="23">
        <f t="shared" si="3"/>
        <v>10.379999999999992</v>
      </c>
      <c r="C48" s="102" t="s">
        <v>286</v>
      </c>
      <c r="D48" s="141"/>
      <c r="E48" s="117">
        <v>6</v>
      </c>
      <c r="F48" s="143"/>
      <c r="G48" s="27">
        <f t="shared" si="0"/>
        <v>0</v>
      </c>
      <c r="H48" s="143"/>
      <c r="I48" s="111">
        <f t="shared" si="1"/>
        <v>0</v>
      </c>
      <c r="J48" s="112">
        <f t="shared" si="2"/>
        <v>0</v>
      </c>
    </row>
    <row r="49" spans="2:10" s="108" customFormat="1" x14ac:dyDescent="0.2">
      <c r="B49" s="23">
        <f t="shared" si="3"/>
        <v>10.389999999999992</v>
      </c>
      <c r="C49" s="35" t="s">
        <v>287</v>
      </c>
      <c r="D49" s="141" t="s">
        <v>17</v>
      </c>
      <c r="E49" s="117">
        <v>2</v>
      </c>
      <c r="F49" s="142"/>
      <c r="G49" s="27">
        <f t="shared" si="0"/>
        <v>0</v>
      </c>
      <c r="H49" s="142">
        <v>58600581.395348795</v>
      </c>
      <c r="I49" s="111">
        <f t="shared" si="1"/>
        <v>117201162.79069759</v>
      </c>
      <c r="J49" s="112">
        <f t="shared" si="2"/>
        <v>117201162.79069759</v>
      </c>
    </row>
    <row r="50" spans="2:10" s="108" customFormat="1" x14ac:dyDescent="0.2">
      <c r="B50" s="23">
        <f t="shared" si="3"/>
        <v>10.399999999999991</v>
      </c>
      <c r="C50" s="102" t="s">
        <v>288</v>
      </c>
      <c r="D50" s="141"/>
      <c r="E50" s="117"/>
      <c r="F50" s="143"/>
      <c r="G50" s="27">
        <f t="shared" si="0"/>
        <v>0</v>
      </c>
      <c r="H50" s="111"/>
      <c r="I50" s="111">
        <f t="shared" si="1"/>
        <v>0</v>
      </c>
      <c r="J50" s="112">
        <f t="shared" si="2"/>
        <v>0</v>
      </c>
    </row>
    <row r="51" spans="2:10" s="108" customFormat="1" x14ac:dyDescent="0.2">
      <c r="B51" s="23">
        <f t="shared" si="3"/>
        <v>10.409999999999991</v>
      </c>
      <c r="C51" s="35" t="s">
        <v>289</v>
      </c>
      <c r="D51" s="141" t="s">
        <v>17</v>
      </c>
      <c r="E51" s="117">
        <v>20</v>
      </c>
      <c r="F51" s="144">
        <v>3150000</v>
      </c>
      <c r="G51" s="27">
        <f t="shared" si="0"/>
        <v>63000000</v>
      </c>
      <c r="H51" s="111"/>
      <c r="I51" s="111">
        <f t="shared" si="1"/>
        <v>0</v>
      </c>
      <c r="J51" s="112">
        <f t="shared" si="2"/>
        <v>63000000</v>
      </c>
    </row>
    <row r="52" spans="2:10" s="108" customFormat="1" x14ac:dyDescent="0.2">
      <c r="B52" s="23">
        <f t="shared" si="3"/>
        <v>10.419999999999991</v>
      </c>
      <c r="C52" s="35" t="s">
        <v>290</v>
      </c>
      <c r="D52" s="141" t="s">
        <v>17</v>
      </c>
      <c r="E52" s="117">
        <v>8</v>
      </c>
      <c r="F52" s="145">
        <v>9397402.325581396</v>
      </c>
      <c r="G52" s="27">
        <f t="shared" si="0"/>
        <v>75179218.604651168</v>
      </c>
      <c r="H52" s="111"/>
      <c r="I52" s="111">
        <f t="shared" si="1"/>
        <v>0</v>
      </c>
      <c r="J52" s="112">
        <f t="shared" si="2"/>
        <v>75179218.604651168</v>
      </c>
    </row>
    <row r="53" spans="2:10" s="108" customFormat="1" x14ac:dyDescent="0.2">
      <c r="B53" s="23">
        <f t="shared" si="3"/>
        <v>10.429999999999991</v>
      </c>
      <c r="C53" s="34" t="s">
        <v>33</v>
      </c>
      <c r="D53" s="78" t="s">
        <v>17</v>
      </c>
      <c r="E53" s="117">
        <v>6</v>
      </c>
      <c r="F53" s="27">
        <v>275560</v>
      </c>
      <c r="G53" s="27">
        <f t="shared" si="0"/>
        <v>1653360</v>
      </c>
      <c r="H53" s="111">
        <v>180620</v>
      </c>
      <c r="I53" s="111">
        <f t="shared" si="1"/>
        <v>1083720</v>
      </c>
      <c r="J53" s="112">
        <f t="shared" si="2"/>
        <v>2737080</v>
      </c>
    </row>
    <row r="54" spans="2:10" s="108" customFormat="1" x14ac:dyDescent="0.2">
      <c r="B54" s="23">
        <f t="shared" si="3"/>
        <v>10.439999999999991</v>
      </c>
      <c r="C54" s="35" t="s">
        <v>34</v>
      </c>
      <c r="D54" s="78" t="s">
        <v>17</v>
      </c>
      <c r="E54" s="117">
        <v>12</v>
      </c>
      <c r="F54" s="27">
        <v>31385</v>
      </c>
      <c r="G54" s="27">
        <f t="shared" si="0"/>
        <v>376620</v>
      </c>
      <c r="H54" s="111">
        <v>31603.894349247203</v>
      </c>
      <c r="I54" s="111">
        <f t="shared" si="1"/>
        <v>379246.73219096643</v>
      </c>
      <c r="J54" s="112">
        <f t="shared" si="2"/>
        <v>755866.73219096637</v>
      </c>
    </row>
    <row r="55" spans="2:10" s="108" customFormat="1" ht="28.5" customHeight="1" x14ac:dyDescent="0.2">
      <c r="B55" s="23">
        <f t="shared" si="3"/>
        <v>10.44999999999999</v>
      </c>
      <c r="C55" s="36" t="s">
        <v>35</v>
      </c>
      <c r="D55" s="103" t="s">
        <v>17</v>
      </c>
      <c r="E55" s="117">
        <v>6</v>
      </c>
      <c r="F55" s="27">
        <v>192904</v>
      </c>
      <c r="G55" s="27">
        <f t="shared" si="0"/>
        <v>1157424</v>
      </c>
      <c r="H55" s="111">
        <v>170263</v>
      </c>
      <c r="I55" s="111">
        <f t="shared" si="1"/>
        <v>1021578</v>
      </c>
      <c r="J55" s="112">
        <f t="shared" si="2"/>
        <v>2179002</v>
      </c>
    </row>
    <row r="56" spans="2:10" s="108" customFormat="1" ht="25.5" x14ac:dyDescent="0.2">
      <c r="B56" s="23">
        <f t="shared" si="3"/>
        <v>10.45999999999999</v>
      </c>
      <c r="C56" s="34" t="s">
        <v>36</v>
      </c>
      <c r="D56" s="78" t="s">
        <v>17</v>
      </c>
      <c r="E56" s="117">
        <v>12</v>
      </c>
      <c r="F56" s="27">
        <v>962106</v>
      </c>
      <c r="G56" s="27">
        <f t="shared" si="0"/>
        <v>11545272</v>
      </c>
      <c r="H56" s="111">
        <v>817672.19688000006</v>
      </c>
      <c r="I56" s="111">
        <f t="shared" si="1"/>
        <v>9812066.3625600003</v>
      </c>
      <c r="J56" s="112">
        <f t="shared" si="2"/>
        <v>21357338.36256</v>
      </c>
    </row>
    <row r="57" spans="2:10" s="108" customFormat="1" x14ac:dyDescent="0.2">
      <c r="B57" s="23">
        <f t="shared" si="3"/>
        <v>10.46999999999999</v>
      </c>
      <c r="C57" s="36" t="s">
        <v>37</v>
      </c>
      <c r="D57" s="25" t="s">
        <v>17</v>
      </c>
      <c r="E57" s="117">
        <v>6</v>
      </c>
      <c r="F57" s="27">
        <v>455761</v>
      </c>
      <c r="G57" s="27">
        <f t="shared" si="0"/>
        <v>2734566</v>
      </c>
      <c r="H57" s="111">
        <v>97455</v>
      </c>
      <c r="I57" s="111">
        <f t="shared" si="1"/>
        <v>584730</v>
      </c>
      <c r="J57" s="112">
        <f t="shared" si="2"/>
        <v>3319296</v>
      </c>
    </row>
    <row r="58" spans="2:10" s="108" customFormat="1" x14ac:dyDescent="0.2">
      <c r="B58" s="23">
        <f t="shared" si="3"/>
        <v>10.47999999999999</v>
      </c>
      <c r="C58" s="34" t="s">
        <v>38</v>
      </c>
      <c r="D58" s="78" t="s">
        <v>17</v>
      </c>
      <c r="E58" s="117">
        <v>24</v>
      </c>
      <c r="F58" s="27">
        <v>7418.4565171643308</v>
      </c>
      <c r="G58" s="27">
        <f t="shared" si="0"/>
        <v>178042.95641194395</v>
      </c>
      <c r="H58" s="111">
        <v>2017.5034107997981</v>
      </c>
      <c r="I58" s="111">
        <f t="shared" si="1"/>
        <v>48420.081859195154</v>
      </c>
      <c r="J58" s="112">
        <f t="shared" si="2"/>
        <v>226463.03827113908</v>
      </c>
    </row>
    <row r="59" spans="2:10" s="108" customFormat="1" ht="25.5" x14ac:dyDescent="0.2">
      <c r="B59" s="23">
        <f t="shared" si="3"/>
        <v>10.48999999999999</v>
      </c>
      <c r="C59" s="34" t="s">
        <v>39</v>
      </c>
      <c r="D59" s="78" t="s">
        <v>17</v>
      </c>
      <c r="E59" s="117">
        <v>6</v>
      </c>
      <c r="F59" s="27">
        <v>149435</v>
      </c>
      <c r="G59" s="27">
        <f t="shared" si="0"/>
        <v>896610</v>
      </c>
      <c r="H59" s="111">
        <v>138607.71709633575</v>
      </c>
      <c r="I59" s="111">
        <f t="shared" si="1"/>
        <v>831646.30257801455</v>
      </c>
      <c r="J59" s="112">
        <f t="shared" si="2"/>
        <v>1728256.3025780146</v>
      </c>
    </row>
    <row r="60" spans="2:10" s="108" customFormat="1" ht="25.5" x14ac:dyDescent="0.2">
      <c r="B60" s="23">
        <f t="shared" si="3"/>
        <v>10.499999999999989</v>
      </c>
      <c r="C60" s="34" t="s">
        <v>40</v>
      </c>
      <c r="D60" s="78" t="s">
        <v>17</v>
      </c>
      <c r="E60" s="117">
        <v>6</v>
      </c>
      <c r="F60" s="27">
        <v>263833</v>
      </c>
      <c r="G60" s="27">
        <f t="shared" si="0"/>
        <v>1582998</v>
      </c>
      <c r="H60" s="111">
        <v>2265263.3868821794</v>
      </c>
      <c r="I60" s="111">
        <f t="shared" si="1"/>
        <v>13591580.321293077</v>
      </c>
      <c r="J60" s="112">
        <f t="shared" si="2"/>
        <v>15174578.321293077</v>
      </c>
    </row>
    <row r="61" spans="2:10" s="108" customFormat="1" x14ac:dyDescent="0.2">
      <c r="B61" s="23">
        <f t="shared" si="3"/>
        <v>10.509999999999989</v>
      </c>
      <c r="C61" s="36" t="s">
        <v>41</v>
      </c>
      <c r="D61" s="25" t="s">
        <v>17</v>
      </c>
      <c r="E61" s="117">
        <v>96</v>
      </c>
      <c r="F61" s="27">
        <v>7441</v>
      </c>
      <c r="G61" s="27">
        <f t="shared" si="0"/>
        <v>714336</v>
      </c>
      <c r="H61" s="111">
        <v>45514</v>
      </c>
      <c r="I61" s="111">
        <f t="shared" si="1"/>
        <v>4369344</v>
      </c>
      <c r="J61" s="112">
        <f t="shared" si="2"/>
        <v>5083680</v>
      </c>
    </row>
    <row r="62" spans="2:10" s="108" customFormat="1" x14ac:dyDescent="0.2">
      <c r="B62" s="23">
        <f t="shared" si="3"/>
        <v>10.519999999999989</v>
      </c>
      <c r="C62" s="31" t="s">
        <v>42</v>
      </c>
      <c r="D62" s="78" t="s">
        <v>43</v>
      </c>
      <c r="E62" s="117">
        <v>6</v>
      </c>
      <c r="F62" s="27">
        <v>2977793.9000000004</v>
      </c>
      <c r="G62" s="27">
        <f t="shared" si="0"/>
        <v>17866763.400000002</v>
      </c>
      <c r="H62" s="111"/>
      <c r="I62" s="111">
        <f t="shared" si="1"/>
        <v>0</v>
      </c>
      <c r="J62" s="112">
        <f t="shared" si="2"/>
        <v>17866763.400000002</v>
      </c>
    </row>
    <row r="63" spans="2:10" s="108" customFormat="1" x14ac:dyDescent="0.2">
      <c r="B63" s="23">
        <f t="shared" si="3"/>
        <v>10.529999999999989</v>
      </c>
      <c r="C63" s="153" t="s">
        <v>340</v>
      </c>
      <c r="D63" s="78" t="s">
        <v>43</v>
      </c>
      <c r="E63" s="117">
        <v>1</v>
      </c>
      <c r="F63" s="146"/>
      <c r="G63" s="27">
        <f t="shared" si="0"/>
        <v>0</v>
      </c>
      <c r="H63" s="154">
        <v>12600000</v>
      </c>
      <c r="I63" s="111">
        <f t="shared" si="1"/>
        <v>12600000</v>
      </c>
      <c r="J63" s="112">
        <f t="shared" si="2"/>
        <v>12600000</v>
      </c>
    </row>
    <row r="64" spans="2:10" s="108" customFormat="1" ht="13.5" thickBot="1" x14ac:dyDescent="0.25">
      <c r="B64" s="37">
        <f>B63+0.01</f>
        <v>10.539999999999988</v>
      </c>
      <c r="C64" s="67" t="s">
        <v>44</v>
      </c>
      <c r="D64" s="81" t="s">
        <v>43</v>
      </c>
      <c r="E64" s="175">
        <v>1</v>
      </c>
      <c r="F64" s="40">
        <v>9000000</v>
      </c>
      <c r="G64" s="40">
        <f t="shared" si="0"/>
        <v>9000000</v>
      </c>
      <c r="H64" s="121"/>
      <c r="I64" s="121">
        <f t="shared" si="1"/>
        <v>0</v>
      </c>
      <c r="J64" s="122">
        <f t="shared" si="2"/>
        <v>9000000</v>
      </c>
    </row>
    <row r="65" spans="6:10" s="123" customFormat="1" ht="13.5" thickBot="1" x14ac:dyDescent="0.25"/>
    <row r="66" spans="6:10" s="123" customFormat="1" ht="15.75" x14ac:dyDescent="0.2">
      <c r="F66" s="44"/>
      <c r="G66" s="45"/>
      <c r="H66" s="46" t="s">
        <v>45</v>
      </c>
      <c r="I66" s="47"/>
      <c r="J66" s="48">
        <f>SUM(J11:J64)</f>
        <v>1812038101.4058056</v>
      </c>
    </row>
    <row r="67" spans="6:10" s="123" customFormat="1" x14ac:dyDescent="0.2">
      <c r="F67" s="49" t="s">
        <v>46</v>
      </c>
      <c r="G67" s="50"/>
      <c r="H67" s="51"/>
      <c r="I67" s="52">
        <v>0.22</v>
      </c>
      <c r="J67" s="29">
        <f>J66*I67</f>
        <v>398648382.30927724</v>
      </c>
    </row>
    <row r="68" spans="6:10" s="123" customFormat="1" x14ac:dyDescent="0.2">
      <c r="F68" s="49" t="s">
        <v>47</v>
      </c>
      <c r="G68" s="50"/>
      <c r="H68" s="51"/>
      <c r="I68" s="52">
        <v>0.04</v>
      </c>
      <c r="J68" s="29">
        <f>J66*I68</f>
        <v>72481524.056232229</v>
      </c>
    </row>
    <row r="69" spans="6:10" s="123" customFormat="1" x14ac:dyDescent="0.2">
      <c r="F69" s="49" t="s">
        <v>48</v>
      </c>
      <c r="G69" s="50"/>
      <c r="H69" s="51"/>
      <c r="I69" s="52">
        <v>0.04</v>
      </c>
      <c r="J69" s="29">
        <f>J66*I69</f>
        <v>72481524.056232229</v>
      </c>
    </row>
    <row r="70" spans="6:10" s="123" customFormat="1" x14ac:dyDescent="0.2">
      <c r="F70" s="49" t="s">
        <v>49</v>
      </c>
      <c r="G70" s="50"/>
      <c r="H70" s="51"/>
      <c r="I70" s="53"/>
      <c r="J70" s="29"/>
    </row>
    <row r="71" spans="6:10" s="123" customFormat="1" x14ac:dyDescent="0.2">
      <c r="F71" s="49" t="s">
        <v>50</v>
      </c>
      <c r="G71" s="50"/>
      <c r="H71" s="51"/>
      <c r="I71" s="52">
        <v>0.19</v>
      </c>
      <c r="J71" s="29">
        <f>J69*I71</f>
        <v>13771489.570684124</v>
      </c>
    </row>
    <row r="72" spans="6:10" s="123" customFormat="1" x14ac:dyDescent="0.2">
      <c r="F72" s="54"/>
      <c r="G72" s="50"/>
      <c r="H72" s="51"/>
      <c r="I72" s="55"/>
      <c r="J72" s="29"/>
    </row>
    <row r="73" spans="6:10" s="123" customFormat="1" ht="16.5" thickBot="1" x14ac:dyDescent="0.25">
      <c r="F73" s="56"/>
      <c r="G73" s="57"/>
      <c r="H73" s="58" t="s">
        <v>51</v>
      </c>
      <c r="I73" s="41"/>
      <c r="J73" s="59">
        <f>SUM(J66:J71)</f>
        <v>2369421021.3982315</v>
      </c>
    </row>
    <row r="74" spans="6:10" s="123" customFormat="1" x14ac:dyDescent="0.2"/>
    <row r="75" spans="6:10" s="123" customFormat="1" x14ac:dyDescent="0.2"/>
    <row r="76" spans="6:10" s="123" customFormat="1" x14ac:dyDescent="0.2"/>
    <row r="77" spans="6:10" s="123" customFormat="1" x14ac:dyDescent="0.2"/>
    <row r="78" spans="6:10" s="123" customFormat="1" x14ac:dyDescent="0.2"/>
    <row r="79" spans="6:10" s="123" customFormat="1" x14ac:dyDescent="0.2"/>
    <row r="80" spans="6:10" s="123" customFormat="1" x14ac:dyDescent="0.2"/>
    <row r="81" s="123" customFormat="1" x14ac:dyDescent="0.2"/>
    <row r="82" s="123" customFormat="1" x14ac:dyDescent="0.2"/>
    <row r="83" s="123" customFormat="1" x14ac:dyDescent="0.2"/>
    <row r="84" s="123" customFormat="1" x14ac:dyDescent="0.2"/>
    <row r="85" s="123" customFormat="1" x14ac:dyDescent="0.2"/>
    <row r="86" s="123" customFormat="1" x14ac:dyDescent="0.2"/>
    <row r="87" s="123" customFormat="1" x14ac:dyDescent="0.2"/>
    <row r="88" s="123" customFormat="1" x14ac:dyDescent="0.2"/>
    <row r="89" s="123" customFormat="1" x14ac:dyDescent="0.2"/>
    <row r="90" s="123" customFormat="1" x14ac:dyDescent="0.2"/>
    <row r="91" s="123" customFormat="1" x14ac:dyDescent="0.2"/>
    <row r="92" s="123" customFormat="1" x14ac:dyDescent="0.2"/>
    <row r="93" s="123" customFormat="1" x14ac:dyDescent="0.2"/>
    <row r="94" s="123" customFormat="1" x14ac:dyDescent="0.2"/>
    <row r="95" s="123" customFormat="1" x14ac:dyDescent="0.2"/>
    <row r="96" s="123" customFormat="1" x14ac:dyDescent="0.2"/>
    <row r="97" s="123" customFormat="1" x14ac:dyDescent="0.2"/>
    <row r="98" s="123" customFormat="1" x14ac:dyDescent="0.2"/>
    <row r="99" s="123" customFormat="1" x14ac:dyDescent="0.2"/>
    <row r="100" s="123" customFormat="1" x14ac:dyDescent="0.2"/>
    <row r="101" s="123" customFormat="1" x14ac:dyDescent="0.2"/>
    <row r="102" s="123" customFormat="1" x14ac:dyDescent="0.2"/>
    <row r="103" s="123" customFormat="1" x14ac:dyDescent="0.2"/>
    <row r="104" s="123" customFormat="1" x14ac:dyDescent="0.2"/>
    <row r="105" s="123" customFormat="1" x14ac:dyDescent="0.2"/>
    <row r="106" s="123" customFormat="1" x14ac:dyDescent="0.2"/>
    <row r="107" s="123" customFormat="1" x14ac:dyDescent="0.2"/>
    <row r="108" s="123" customFormat="1" x14ac:dyDescent="0.2"/>
    <row r="109" s="123" customFormat="1" x14ac:dyDescent="0.2"/>
    <row r="110" s="123" customFormat="1" x14ac:dyDescent="0.2"/>
    <row r="111" s="123" customFormat="1" x14ac:dyDescent="0.2"/>
    <row r="112" s="123" customFormat="1" x14ac:dyDescent="0.2"/>
    <row r="113" s="123" customFormat="1" x14ac:dyDescent="0.2"/>
    <row r="114" s="123" customFormat="1" x14ac:dyDescent="0.2"/>
    <row r="115" s="123" customFormat="1" x14ac:dyDescent="0.2"/>
    <row r="116" s="123" customFormat="1" x14ac:dyDescent="0.2"/>
    <row r="117" s="123" customFormat="1" x14ac:dyDescent="0.2"/>
    <row r="118" s="123" customFormat="1" x14ac:dyDescent="0.2"/>
    <row r="119" s="123" customFormat="1" x14ac:dyDescent="0.2"/>
    <row r="120" s="123" customFormat="1" x14ac:dyDescent="0.2"/>
    <row r="121" s="123" customFormat="1" x14ac:dyDescent="0.2"/>
    <row r="122" s="123" customFormat="1" x14ac:dyDescent="0.2"/>
    <row r="123" s="123" customFormat="1" x14ac:dyDescent="0.2"/>
    <row r="124" s="123" customFormat="1" x14ac:dyDescent="0.2"/>
    <row r="125" s="123" customFormat="1" x14ac:dyDescent="0.2"/>
    <row r="126" s="123" customFormat="1" x14ac:dyDescent="0.2"/>
    <row r="127" s="123" customFormat="1" x14ac:dyDescent="0.2"/>
    <row r="128" s="123" customFormat="1" x14ac:dyDescent="0.2"/>
    <row r="129" s="123" customFormat="1" x14ac:dyDescent="0.2"/>
    <row r="130" s="123" customFormat="1" x14ac:dyDescent="0.2"/>
    <row r="131" s="123" customFormat="1" x14ac:dyDescent="0.2"/>
    <row r="132" s="123" customFormat="1" x14ac:dyDescent="0.2"/>
    <row r="133" s="123" customFormat="1" x14ac:dyDescent="0.2"/>
    <row r="134" s="123" customFormat="1" x14ac:dyDescent="0.2"/>
    <row r="135" s="123" customFormat="1" x14ac:dyDescent="0.2"/>
  </sheetData>
  <mergeCells count="4">
    <mergeCell ref="F8:G8"/>
    <mergeCell ref="H8:I8"/>
    <mergeCell ref="B9:B10"/>
    <mergeCell ref="C9: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A849B-A60A-42C6-8F49-EE11CA989856}">
  <sheetPr>
    <tabColor rgb="FF92D050"/>
  </sheetPr>
  <dimension ref="B1:J66"/>
  <sheetViews>
    <sheetView workbookViewId="0"/>
  </sheetViews>
  <sheetFormatPr baseColWidth="10" defaultColWidth="12.625" defaultRowHeight="12.75" x14ac:dyDescent="0.2"/>
  <cols>
    <col min="1" max="1" width="5.125" style="30" customWidth="1"/>
    <col min="2" max="2" width="6.125" style="64" customWidth="1"/>
    <col min="3" max="3" width="60.625" style="30" customWidth="1"/>
    <col min="4" max="4" width="9.625" style="30" customWidth="1"/>
    <col min="5" max="5" width="9.625" style="62" customWidth="1"/>
    <col min="6" max="6" width="12.75" style="63" customWidth="1"/>
    <col min="7" max="7" width="11.625" style="63" customWidth="1"/>
    <col min="8" max="10" width="11.625" style="62" customWidth="1"/>
    <col min="11" max="16384" width="12.625" style="30"/>
  </cols>
  <sheetData>
    <row r="1" spans="2:10" s="2" customFormat="1" ht="15" x14ac:dyDescent="0.2">
      <c r="B1" s="8"/>
      <c r="E1" s="4"/>
      <c r="F1" s="5"/>
      <c r="G1" s="5"/>
      <c r="H1" s="4"/>
      <c r="I1" s="4"/>
      <c r="J1" s="4"/>
    </row>
    <row r="2" spans="2:10" s="2" customFormat="1" ht="15.75" x14ac:dyDescent="0.25">
      <c r="B2" s="1" t="s">
        <v>0</v>
      </c>
      <c r="D2" s="3"/>
      <c r="E2" s="4"/>
      <c r="F2" s="5"/>
      <c r="G2" s="5"/>
      <c r="H2" s="4"/>
      <c r="I2" s="4"/>
      <c r="J2" s="4"/>
    </row>
    <row r="3" spans="2:10" s="2" customFormat="1" ht="15.75" x14ac:dyDescent="0.25">
      <c r="B3" s="1" t="s">
        <v>1</v>
      </c>
      <c r="C3" s="5"/>
      <c r="D3" s="6" t="s">
        <v>2</v>
      </c>
      <c r="E3" s="4"/>
      <c r="F3" s="5"/>
      <c r="G3" s="5"/>
      <c r="H3" s="7"/>
      <c r="I3" s="4"/>
      <c r="J3" s="4"/>
    </row>
    <row r="4" spans="2:10" s="2" customFormat="1" ht="15.75" x14ac:dyDescent="0.25">
      <c r="B4" s="1" t="s">
        <v>361</v>
      </c>
      <c r="D4" s="3"/>
      <c r="E4" s="4"/>
      <c r="F4" s="5"/>
      <c r="G4" s="5"/>
      <c r="H4" s="4"/>
      <c r="I4" s="4"/>
      <c r="J4" s="4"/>
    </row>
    <row r="5" spans="2:10" s="2" customFormat="1" ht="15.75" thickBot="1" x14ac:dyDescent="0.25">
      <c r="B5" s="8"/>
      <c r="E5" s="4"/>
      <c r="F5" s="9"/>
      <c r="G5" s="5"/>
      <c r="H5" s="10"/>
      <c r="I5" s="4"/>
      <c r="J5" s="4"/>
    </row>
    <row r="6" spans="2:10" s="14" customFormat="1" ht="54.95" customHeight="1" x14ac:dyDescent="0.25">
      <c r="B6" s="11" t="s">
        <v>3</v>
      </c>
      <c r="C6" s="12" t="s">
        <v>4</v>
      </c>
      <c r="D6" s="12" t="s">
        <v>5</v>
      </c>
      <c r="E6" s="12" t="s">
        <v>6</v>
      </c>
      <c r="F6" s="400" t="s">
        <v>7</v>
      </c>
      <c r="G6" s="400"/>
      <c r="H6" s="401" t="s">
        <v>8</v>
      </c>
      <c r="I6" s="401"/>
      <c r="J6" s="13" t="s">
        <v>9</v>
      </c>
    </row>
    <row r="7" spans="2:10" s="19" customFormat="1" ht="27.75" customHeight="1" x14ac:dyDescent="0.2">
      <c r="B7" s="402">
        <v>11</v>
      </c>
      <c r="C7" s="404" t="s">
        <v>291</v>
      </c>
      <c r="D7" s="15"/>
      <c r="E7" s="16"/>
      <c r="F7" s="17" t="s">
        <v>11</v>
      </c>
      <c r="G7" s="17" t="s">
        <v>12</v>
      </c>
      <c r="H7" s="17" t="s">
        <v>11</v>
      </c>
      <c r="I7" s="17" t="s">
        <v>13</v>
      </c>
      <c r="J7" s="18" t="s">
        <v>14</v>
      </c>
    </row>
    <row r="8" spans="2:10" s="19" customFormat="1" ht="27.75" customHeight="1" x14ac:dyDescent="0.2">
      <c r="B8" s="403"/>
      <c r="C8" s="405"/>
      <c r="D8" s="20"/>
      <c r="E8" s="169" t="s">
        <v>14</v>
      </c>
      <c r="F8" s="21" t="s">
        <v>15</v>
      </c>
      <c r="G8" s="21" t="s">
        <v>15</v>
      </c>
      <c r="H8" s="21" t="s">
        <v>15</v>
      </c>
      <c r="I8" s="21" t="s">
        <v>15</v>
      </c>
      <c r="J8" s="22" t="s">
        <v>15</v>
      </c>
    </row>
    <row r="9" spans="2:10" x14ac:dyDescent="0.2">
      <c r="B9" s="23">
        <f>B7+0.01</f>
        <v>11.01</v>
      </c>
      <c r="C9" s="31" t="s">
        <v>292</v>
      </c>
      <c r="D9" s="78" t="s">
        <v>17</v>
      </c>
      <c r="E9" s="85">
        <v>3</v>
      </c>
      <c r="F9" s="98">
        <v>276476872.88699996</v>
      </c>
      <c r="G9" s="27">
        <f>E9*F9</f>
        <v>829430618.66099989</v>
      </c>
      <c r="H9" s="28">
        <v>24117996.965999998</v>
      </c>
      <c r="I9" s="28">
        <f>E9*H9</f>
        <v>72353990.898000002</v>
      </c>
      <c r="J9" s="29">
        <f>G9+I9</f>
        <v>901784609.5589999</v>
      </c>
    </row>
    <row r="10" spans="2:10" x14ac:dyDescent="0.2">
      <c r="B10" s="23">
        <f>B9+0.01</f>
        <v>11.02</v>
      </c>
      <c r="C10" s="31" t="s">
        <v>293</v>
      </c>
      <c r="D10" s="78" t="s">
        <v>17</v>
      </c>
      <c r="E10" s="85">
        <v>1</v>
      </c>
      <c r="F10" s="98">
        <v>110495545.772</v>
      </c>
      <c r="G10" s="27">
        <f t="shared" ref="G10:G57" si="0">E10*F10</f>
        <v>110495545.772</v>
      </c>
      <c r="H10" s="28"/>
      <c r="I10" s="28">
        <f t="shared" ref="I10:I57" si="1">E10*H10</f>
        <v>0</v>
      </c>
      <c r="J10" s="29">
        <f t="shared" ref="J10:J57" si="2">G10+I10</f>
        <v>110495545.772</v>
      </c>
    </row>
    <row r="11" spans="2:10" x14ac:dyDescent="0.2">
      <c r="B11" s="23">
        <f t="shared" ref="B11:B57" si="3">B10+0.01</f>
        <v>11.03</v>
      </c>
      <c r="C11" s="31" t="s">
        <v>294</v>
      </c>
      <c r="D11" s="78" t="s">
        <v>17</v>
      </c>
      <c r="E11" s="85">
        <v>1</v>
      </c>
      <c r="F11" s="98">
        <v>64997379.368000001</v>
      </c>
      <c r="G11" s="27">
        <f t="shared" si="0"/>
        <v>64997379.368000001</v>
      </c>
      <c r="H11" s="28"/>
      <c r="I11" s="28">
        <f t="shared" si="1"/>
        <v>0</v>
      </c>
      <c r="J11" s="29">
        <f t="shared" si="2"/>
        <v>64997379.368000001</v>
      </c>
    </row>
    <row r="12" spans="2:10" x14ac:dyDescent="0.2">
      <c r="B12" s="23">
        <f t="shared" si="3"/>
        <v>11.04</v>
      </c>
      <c r="C12" s="31" t="s">
        <v>295</v>
      </c>
      <c r="D12" s="78" t="s">
        <v>17</v>
      </c>
      <c r="E12" s="85">
        <v>1</v>
      </c>
      <c r="F12" s="98">
        <v>39852667.637999997</v>
      </c>
      <c r="G12" s="27">
        <f t="shared" si="0"/>
        <v>39852667.637999997</v>
      </c>
      <c r="H12" s="28">
        <v>24117996.965999998</v>
      </c>
      <c r="I12" s="28">
        <f t="shared" si="1"/>
        <v>24117996.965999998</v>
      </c>
      <c r="J12" s="29">
        <f t="shared" si="2"/>
        <v>63970664.603999995</v>
      </c>
    </row>
    <row r="13" spans="2:10" x14ac:dyDescent="0.2">
      <c r="B13" s="23">
        <f t="shared" si="3"/>
        <v>11.049999999999999</v>
      </c>
      <c r="C13" s="31" t="s">
        <v>296</v>
      </c>
      <c r="D13" s="78" t="s">
        <v>17</v>
      </c>
      <c r="E13" s="85">
        <v>1</v>
      </c>
      <c r="F13" s="98">
        <v>18722734.274999999</v>
      </c>
      <c r="G13" s="27">
        <f t="shared" si="0"/>
        <v>18722734.274999999</v>
      </c>
      <c r="H13" s="28">
        <v>3092331.0249999999</v>
      </c>
      <c r="I13" s="28">
        <f t="shared" si="1"/>
        <v>3092331.0249999999</v>
      </c>
      <c r="J13" s="29">
        <f t="shared" si="2"/>
        <v>21815065.299999997</v>
      </c>
    </row>
    <row r="14" spans="2:10" ht="14.25" customHeight="1" x14ac:dyDescent="0.2">
      <c r="B14" s="23">
        <f t="shared" si="3"/>
        <v>11.059999999999999</v>
      </c>
      <c r="C14" s="31" t="s">
        <v>297</v>
      </c>
      <c r="D14" s="153"/>
      <c r="E14" s="176"/>
      <c r="F14" s="177"/>
      <c r="G14" s="178"/>
      <c r="H14" s="147"/>
      <c r="I14" s="28">
        <f t="shared" si="1"/>
        <v>0</v>
      </c>
      <c r="J14" s="148"/>
    </row>
    <row r="15" spans="2:10" ht="38.25" x14ac:dyDescent="0.2">
      <c r="B15" s="23">
        <f t="shared" si="3"/>
        <v>11.069999999999999</v>
      </c>
      <c r="C15" s="31" t="s">
        <v>298</v>
      </c>
      <c r="D15" s="78" t="s">
        <v>43</v>
      </c>
      <c r="E15" s="85">
        <v>1</v>
      </c>
      <c r="F15" s="179">
        <v>677679314.87400007</v>
      </c>
      <c r="G15" s="180">
        <v>677679314.87400007</v>
      </c>
      <c r="H15" s="28"/>
      <c r="I15" s="28">
        <f t="shared" si="1"/>
        <v>0</v>
      </c>
      <c r="J15" s="29">
        <v>677679314.87400007</v>
      </c>
    </row>
    <row r="16" spans="2:10" ht="25.5" x14ac:dyDescent="0.2">
      <c r="B16" s="23">
        <f t="shared" si="3"/>
        <v>11.079999999999998</v>
      </c>
      <c r="C16" s="31" t="s">
        <v>299</v>
      </c>
      <c r="D16" s="78" t="s">
        <v>17</v>
      </c>
      <c r="E16" s="85">
        <v>1</v>
      </c>
      <c r="F16" s="98">
        <v>84358291.63000001</v>
      </c>
      <c r="G16" s="27">
        <f t="shared" si="0"/>
        <v>84358291.63000001</v>
      </c>
      <c r="H16" s="28"/>
      <c r="I16" s="28">
        <f t="shared" si="1"/>
        <v>0</v>
      </c>
      <c r="J16" s="29">
        <f t="shared" si="2"/>
        <v>84358291.63000001</v>
      </c>
    </row>
    <row r="17" spans="2:10" ht="25.5" x14ac:dyDescent="0.2">
      <c r="B17" s="23">
        <f t="shared" si="3"/>
        <v>11.089999999999998</v>
      </c>
      <c r="C17" s="31" t="s">
        <v>300</v>
      </c>
      <c r="D17" s="78" t="s">
        <v>17</v>
      </c>
      <c r="E17" s="85">
        <v>1</v>
      </c>
      <c r="F17" s="98">
        <v>56458000</v>
      </c>
      <c r="G17" s="27">
        <f t="shared" si="0"/>
        <v>56458000</v>
      </c>
      <c r="H17" s="28"/>
      <c r="I17" s="28">
        <f t="shared" si="1"/>
        <v>0</v>
      </c>
      <c r="J17" s="29">
        <f t="shared" si="2"/>
        <v>56458000</v>
      </c>
    </row>
    <row r="18" spans="2:10" x14ac:dyDescent="0.2">
      <c r="B18" s="23">
        <f t="shared" si="3"/>
        <v>11.099999999999998</v>
      </c>
      <c r="C18" s="31" t="s">
        <v>301</v>
      </c>
      <c r="D18" s="78" t="s">
        <v>17</v>
      </c>
      <c r="E18" s="85">
        <v>1</v>
      </c>
      <c r="F18" s="98">
        <v>28405692.929999996</v>
      </c>
      <c r="G18" s="27">
        <f t="shared" si="0"/>
        <v>28405692.929999996</v>
      </c>
      <c r="H18" s="28">
        <v>672140.77499999991</v>
      </c>
      <c r="I18" s="28">
        <f t="shared" si="1"/>
        <v>672140.77499999991</v>
      </c>
      <c r="J18" s="29">
        <f t="shared" si="2"/>
        <v>29077833.704999994</v>
      </c>
    </row>
    <row r="19" spans="2:10" ht="14.25" x14ac:dyDescent="0.2">
      <c r="B19" s="23">
        <f t="shared" si="3"/>
        <v>11.109999999999998</v>
      </c>
      <c r="C19" s="116" t="s">
        <v>302</v>
      </c>
      <c r="D19" s="78" t="s">
        <v>17</v>
      </c>
      <c r="E19" s="85">
        <v>1</v>
      </c>
      <c r="F19" s="98">
        <v>6916220.0600000005</v>
      </c>
      <c r="G19" s="27">
        <f t="shared" si="0"/>
        <v>6916220.0600000005</v>
      </c>
      <c r="H19" s="149"/>
      <c r="I19" s="28">
        <f t="shared" si="1"/>
        <v>0</v>
      </c>
      <c r="J19" s="29">
        <f t="shared" si="2"/>
        <v>6916220.0600000005</v>
      </c>
    </row>
    <row r="20" spans="2:10" ht="38.25" x14ac:dyDescent="0.2">
      <c r="B20" s="23">
        <f t="shared" si="3"/>
        <v>11.119999999999997</v>
      </c>
      <c r="C20" s="31" t="s">
        <v>303</v>
      </c>
      <c r="D20" s="78" t="s">
        <v>17</v>
      </c>
      <c r="E20" s="85">
        <v>1</v>
      </c>
      <c r="F20" s="98">
        <v>95452998.050000012</v>
      </c>
      <c r="G20" s="27">
        <f t="shared" si="0"/>
        <v>95452998.050000012</v>
      </c>
      <c r="H20" s="28">
        <v>2398198.0749999997</v>
      </c>
      <c r="I20" s="28">
        <f t="shared" si="1"/>
        <v>2398198.0749999997</v>
      </c>
      <c r="J20" s="29">
        <f t="shared" si="2"/>
        <v>97851196.125000015</v>
      </c>
    </row>
    <row r="21" spans="2:10" x14ac:dyDescent="0.2">
      <c r="B21" s="23">
        <f t="shared" si="3"/>
        <v>11.129999999999997</v>
      </c>
      <c r="C21" s="31" t="s">
        <v>304</v>
      </c>
      <c r="D21" s="78" t="s">
        <v>17</v>
      </c>
      <c r="E21" s="85">
        <v>1</v>
      </c>
      <c r="F21" s="98">
        <v>78445981.320000008</v>
      </c>
      <c r="G21" s="27">
        <f t="shared" si="0"/>
        <v>78445981.320000008</v>
      </c>
      <c r="H21" s="28">
        <v>1328858.125</v>
      </c>
      <c r="I21" s="28">
        <f t="shared" si="1"/>
        <v>1328858.125</v>
      </c>
      <c r="J21" s="29">
        <f t="shared" si="2"/>
        <v>79774839.445000008</v>
      </c>
    </row>
    <row r="22" spans="2:10" x14ac:dyDescent="0.2">
      <c r="B22" s="23">
        <f t="shared" si="3"/>
        <v>11.139999999999997</v>
      </c>
      <c r="C22" s="31" t="s">
        <v>305</v>
      </c>
      <c r="D22" s="78" t="s">
        <v>17</v>
      </c>
      <c r="E22" s="85">
        <v>1</v>
      </c>
      <c r="F22" s="98">
        <v>27850000</v>
      </c>
      <c r="G22" s="27">
        <f t="shared" si="0"/>
        <v>27850000</v>
      </c>
      <c r="H22" s="28"/>
      <c r="I22" s="28">
        <f t="shared" si="1"/>
        <v>0</v>
      </c>
      <c r="J22" s="29">
        <f t="shared" si="2"/>
        <v>27850000</v>
      </c>
    </row>
    <row r="23" spans="2:10" x14ac:dyDescent="0.2">
      <c r="B23" s="23">
        <f t="shared" si="3"/>
        <v>11.149999999999997</v>
      </c>
      <c r="C23" s="31" t="s">
        <v>306</v>
      </c>
      <c r="D23" s="78" t="s">
        <v>17</v>
      </c>
      <c r="E23" s="85">
        <v>4</v>
      </c>
      <c r="F23" s="98">
        <v>28405692.929999996</v>
      </c>
      <c r="G23" s="27">
        <f t="shared" si="0"/>
        <v>113622771.71999998</v>
      </c>
      <c r="H23" s="28">
        <v>672140.77499999991</v>
      </c>
      <c r="I23" s="28">
        <f t="shared" si="1"/>
        <v>2688563.0999999996</v>
      </c>
      <c r="J23" s="29">
        <f t="shared" si="2"/>
        <v>116311334.81999998</v>
      </c>
    </row>
    <row r="24" spans="2:10" x14ac:dyDescent="0.2">
      <c r="B24" s="23">
        <f t="shared" si="3"/>
        <v>11.159999999999997</v>
      </c>
      <c r="C24" s="31" t="s">
        <v>307</v>
      </c>
      <c r="D24" s="78" t="s">
        <v>17</v>
      </c>
      <c r="E24" s="85">
        <v>9</v>
      </c>
      <c r="F24" s="98">
        <v>12189721.022999998</v>
      </c>
      <c r="G24" s="27">
        <f t="shared" si="0"/>
        <v>109707489.20699999</v>
      </c>
      <c r="H24" s="28">
        <v>268898.34999999998</v>
      </c>
      <c r="I24" s="28">
        <f t="shared" si="1"/>
        <v>2420085.15</v>
      </c>
      <c r="J24" s="29">
        <f t="shared" si="2"/>
        <v>112127574.35699999</v>
      </c>
    </row>
    <row r="25" spans="2:10" x14ac:dyDescent="0.2">
      <c r="B25" s="23">
        <f t="shared" si="3"/>
        <v>11.169999999999996</v>
      </c>
      <c r="C25" s="31" t="s">
        <v>308</v>
      </c>
      <c r="D25" s="78" t="s">
        <v>17</v>
      </c>
      <c r="E25" s="85">
        <v>6</v>
      </c>
      <c r="F25" s="98">
        <v>4942576.8</v>
      </c>
      <c r="G25" s="27">
        <f t="shared" si="0"/>
        <v>29655460.799999997</v>
      </c>
      <c r="H25" s="28">
        <v>12907120.799999999</v>
      </c>
      <c r="I25" s="28">
        <f t="shared" si="1"/>
        <v>77442724.799999997</v>
      </c>
      <c r="J25" s="29">
        <f t="shared" si="2"/>
        <v>107098185.59999999</v>
      </c>
    </row>
    <row r="26" spans="2:10" x14ac:dyDescent="0.2">
      <c r="B26" s="23">
        <f t="shared" si="3"/>
        <v>11.179999999999996</v>
      </c>
      <c r="C26" s="31" t="s">
        <v>309</v>
      </c>
      <c r="D26" s="78" t="s">
        <v>17</v>
      </c>
      <c r="E26" s="85">
        <v>1</v>
      </c>
      <c r="F26" s="98">
        <v>4968343.1459999997</v>
      </c>
      <c r="G26" s="27">
        <f t="shared" si="0"/>
        <v>4968343.1459999997</v>
      </c>
      <c r="H26" s="28">
        <v>768281</v>
      </c>
      <c r="I26" s="28">
        <f t="shared" si="1"/>
        <v>768281</v>
      </c>
      <c r="J26" s="29">
        <f t="shared" si="2"/>
        <v>5736624.1459999997</v>
      </c>
    </row>
    <row r="27" spans="2:10" x14ac:dyDescent="0.2">
      <c r="B27" s="23">
        <f t="shared" si="3"/>
        <v>11.189999999999996</v>
      </c>
      <c r="C27" s="31" t="s">
        <v>194</v>
      </c>
      <c r="D27" s="78" t="s">
        <v>17</v>
      </c>
      <c r="E27" s="85">
        <v>1</v>
      </c>
      <c r="F27" s="98">
        <v>2931899.9999999995</v>
      </c>
      <c r="G27" s="27">
        <f t="shared" si="0"/>
        <v>2931899.9999999995</v>
      </c>
      <c r="H27" s="28">
        <v>1075593.3999999999</v>
      </c>
      <c r="I27" s="28">
        <f t="shared" si="1"/>
        <v>1075593.3999999999</v>
      </c>
      <c r="J27" s="29">
        <f t="shared" si="2"/>
        <v>4007493.3999999994</v>
      </c>
    </row>
    <row r="28" spans="2:10" ht="25.5" x14ac:dyDescent="0.2">
      <c r="B28" s="23">
        <f t="shared" si="3"/>
        <v>11.199999999999996</v>
      </c>
      <c r="C28" s="31" t="s">
        <v>310</v>
      </c>
      <c r="D28" s="78" t="s">
        <v>17</v>
      </c>
      <c r="E28" s="85">
        <v>1</v>
      </c>
      <c r="F28" s="98">
        <v>27170624.999999996</v>
      </c>
      <c r="G28" s="27">
        <f t="shared" si="0"/>
        <v>27170624.999999996</v>
      </c>
      <c r="H28" s="28"/>
      <c r="I28" s="28">
        <f t="shared" si="1"/>
        <v>0</v>
      </c>
      <c r="J28" s="29">
        <f t="shared" si="2"/>
        <v>27170624.999999996</v>
      </c>
    </row>
    <row r="29" spans="2:10" x14ac:dyDescent="0.2">
      <c r="B29" s="23">
        <f t="shared" si="3"/>
        <v>11.209999999999996</v>
      </c>
      <c r="C29" s="31" t="s">
        <v>311</v>
      </c>
      <c r="D29" s="78" t="s">
        <v>17</v>
      </c>
      <c r="E29" s="85">
        <v>1</v>
      </c>
      <c r="F29" s="98">
        <v>173891999.99999997</v>
      </c>
      <c r="G29" s="27">
        <f t="shared" si="0"/>
        <v>173891999.99999997</v>
      </c>
      <c r="H29" s="28"/>
      <c r="I29" s="28">
        <f t="shared" si="1"/>
        <v>0</v>
      </c>
      <c r="J29" s="29">
        <f t="shared" si="2"/>
        <v>173891999.99999997</v>
      </c>
    </row>
    <row r="30" spans="2:10" x14ac:dyDescent="0.2">
      <c r="B30" s="23">
        <f t="shared" si="3"/>
        <v>11.219999999999995</v>
      </c>
      <c r="C30" s="31" t="s">
        <v>312</v>
      </c>
      <c r="D30" s="78" t="s">
        <v>17</v>
      </c>
      <c r="E30" s="85">
        <v>2</v>
      </c>
      <c r="F30" s="98">
        <v>35374700</v>
      </c>
      <c r="G30" s="27">
        <f t="shared" si="0"/>
        <v>70749400</v>
      </c>
      <c r="H30" s="28"/>
      <c r="I30" s="28">
        <f t="shared" si="1"/>
        <v>0</v>
      </c>
      <c r="J30" s="29">
        <f t="shared" si="2"/>
        <v>70749400</v>
      </c>
    </row>
    <row r="31" spans="2:10" x14ac:dyDescent="0.2">
      <c r="B31" s="23">
        <f t="shared" si="3"/>
        <v>11.229999999999995</v>
      </c>
      <c r="C31" s="31" t="s">
        <v>313</v>
      </c>
      <c r="D31" s="78" t="s">
        <v>17</v>
      </c>
      <c r="E31" s="85">
        <v>1</v>
      </c>
      <c r="F31" s="98">
        <v>105202390.816</v>
      </c>
      <c r="G31" s="27">
        <f t="shared" si="0"/>
        <v>105202390.816</v>
      </c>
      <c r="H31" s="28"/>
      <c r="I31" s="28">
        <f t="shared" si="1"/>
        <v>0</v>
      </c>
      <c r="J31" s="29">
        <f t="shared" si="2"/>
        <v>105202390.816</v>
      </c>
    </row>
    <row r="32" spans="2:10" x14ac:dyDescent="0.2">
      <c r="B32" s="23">
        <f t="shared" si="3"/>
        <v>11.239999999999995</v>
      </c>
      <c r="C32" s="31" t="s">
        <v>314</v>
      </c>
      <c r="D32" s="78" t="s">
        <v>17</v>
      </c>
      <c r="E32" s="85">
        <v>1</v>
      </c>
      <c r="F32" s="98">
        <v>17478301</v>
      </c>
      <c r="G32" s="27">
        <f t="shared" si="0"/>
        <v>17478301</v>
      </c>
      <c r="H32" s="28"/>
      <c r="I32" s="28">
        <f t="shared" si="1"/>
        <v>0</v>
      </c>
      <c r="J32" s="29">
        <f t="shared" si="2"/>
        <v>17478301</v>
      </c>
    </row>
    <row r="33" spans="2:10" x14ac:dyDescent="0.2">
      <c r="B33" s="23">
        <f t="shared" si="3"/>
        <v>11.249999999999995</v>
      </c>
      <c r="C33" s="31" t="s">
        <v>315</v>
      </c>
      <c r="D33" s="78" t="s">
        <v>17</v>
      </c>
      <c r="E33" s="85">
        <v>1</v>
      </c>
      <c r="F33" s="98">
        <v>13624845.632999999</v>
      </c>
      <c r="G33" s="27">
        <f t="shared" si="0"/>
        <v>13624845.632999999</v>
      </c>
      <c r="H33" s="28">
        <v>1344491.75</v>
      </c>
      <c r="I33" s="28">
        <f t="shared" si="1"/>
        <v>1344491.75</v>
      </c>
      <c r="J33" s="29">
        <f t="shared" si="2"/>
        <v>14969337.382999999</v>
      </c>
    </row>
    <row r="34" spans="2:10" x14ac:dyDescent="0.2">
      <c r="B34" s="23">
        <f t="shared" si="3"/>
        <v>11.259999999999994</v>
      </c>
      <c r="C34" s="31" t="s">
        <v>316</v>
      </c>
      <c r="D34" s="78" t="s">
        <v>17</v>
      </c>
      <c r="E34" s="85">
        <v>1</v>
      </c>
      <c r="F34" s="98">
        <v>1611415.466</v>
      </c>
      <c r="G34" s="27">
        <f t="shared" si="0"/>
        <v>1611415.466</v>
      </c>
      <c r="H34" s="28">
        <v>10890833.002999999</v>
      </c>
      <c r="I34" s="28">
        <f t="shared" si="1"/>
        <v>10890833.002999999</v>
      </c>
      <c r="J34" s="29">
        <f t="shared" si="2"/>
        <v>12502248.468999999</v>
      </c>
    </row>
    <row r="35" spans="2:10" x14ac:dyDescent="0.2">
      <c r="B35" s="23">
        <f t="shared" si="3"/>
        <v>11.269999999999994</v>
      </c>
      <c r="C35" s="31" t="s">
        <v>317</v>
      </c>
      <c r="D35" s="78" t="s">
        <v>17</v>
      </c>
      <c r="E35" s="85">
        <v>20</v>
      </c>
      <c r="F35" s="98">
        <v>555937.73800000001</v>
      </c>
      <c r="G35" s="27">
        <f t="shared" si="0"/>
        <v>11118754.76</v>
      </c>
      <c r="H35" s="28"/>
      <c r="I35" s="28">
        <f t="shared" si="1"/>
        <v>0</v>
      </c>
      <c r="J35" s="29">
        <f t="shared" si="2"/>
        <v>11118754.76</v>
      </c>
    </row>
    <row r="36" spans="2:10" x14ac:dyDescent="0.2">
      <c r="B36" s="23">
        <f t="shared" si="3"/>
        <v>11.279999999999994</v>
      </c>
      <c r="C36" s="31" t="s">
        <v>318</v>
      </c>
      <c r="D36" s="78" t="s">
        <v>122</v>
      </c>
      <c r="E36" s="85">
        <v>800</v>
      </c>
      <c r="F36" s="33">
        <v>7003.2987499999999</v>
      </c>
      <c r="G36" s="27">
        <f t="shared" si="0"/>
        <v>5602639</v>
      </c>
      <c r="H36" s="80">
        <v>15780</v>
      </c>
      <c r="I36" s="28">
        <f t="shared" si="1"/>
        <v>12624000</v>
      </c>
      <c r="J36" s="29">
        <f t="shared" si="2"/>
        <v>18226639</v>
      </c>
    </row>
    <row r="37" spans="2:10" x14ac:dyDescent="0.2">
      <c r="B37" s="23">
        <f t="shared" si="3"/>
        <v>11.289999999999994</v>
      </c>
      <c r="C37" s="31" t="s">
        <v>319</v>
      </c>
      <c r="D37" s="78" t="s">
        <v>17</v>
      </c>
      <c r="E37" s="85">
        <v>1</v>
      </c>
      <c r="F37" s="98">
        <v>6261296.9000000004</v>
      </c>
      <c r="G37" s="27">
        <f t="shared" si="0"/>
        <v>6261296.9000000004</v>
      </c>
      <c r="H37" s="28">
        <v>956902.91899999999</v>
      </c>
      <c r="I37" s="28">
        <f t="shared" si="1"/>
        <v>956902.91899999999</v>
      </c>
      <c r="J37" s="29">
        <f t="shared" si="2"/>
        <v>7218199.8190000001</v>
      </c>
    </row>
    <row r="38" spans="2:10" x14ac:dyDescent="0.2">
      <c r="B38" s="23">
        <f t="shared" si="3"/>
        <v>11.299999999999994</v>
      </c>
      <c r="C38" s="31" t="s">
        <v>164</v>
      </c>
      <c r="D38" s="85" t="s">
        <v>320</v>
      </c>
      <c r="E38" s="85">
        <v>3</v>
      </c>
      <c r="F38" s="98">
        <v>5618376.75</v>
      </c>
      <c r="G38" s="27">
        <f t="shared" si="0"/>
        <v>16855130.25</v>
      </c>
      <c r="H38" s="28">
        <v>426968.75</v>
      </c>
      <c r="I38" s="28">
        <f t="shared" si="1"/>
        <v>1280906.25</v>
      </c>
      <c r="J38" s="29">
        <f t="shared" si="2"/>
        <v>18136036.5</v>
      </c>
    </row>
    <row r="39" spans="2:10" x14ac:dyDescent="0.2">
      <c r="B39" s="23">
        <f t="shared" si="3"/>
        <v>11.309999999999993</v>
      </c>
      <c r="C39" s="116" t="s">
        <v>165</v>
      </c>
      <c r="D39" s="85" t="s">
        <v>320</v>
      </c>
      <c r="E39" s="85">
        <v>3</v>
      </c>
      <c r="F39" s="98">
        <v>485000</v>
      </c>
      <c r="G39" s="27">
        <f t="shared" si="0"/>
        <v>1455000</v>
      </c>
      <c r="H39" s="28"/>
      <c r="I39" s="28">
        <f t="shared" si="1"/>
        <v>0</v>
      </c>
      <c r="J39" s="29">
        <f t="shared" si="2"/>
        <v>1455000</v>
      </c>
    </row>
    <row r="40" spans="2:10" x14ac:dyDescent="0.2">
      <c r="B40" s="23">
        <f t="shared" si="3"/>
        <v>11.319999999999993</v>
      </c>
      <c r="C40" s="116" t="s">
        <v>166</v>
      </c>
      <c r="D40" s="85" t="s">
        <v>320</v>
      </c>
      <c r="E40" s="85">
        <v>3</v>
      </c>
      <c r="F40" s="98">
        <v>893000</v>
      </c>
      <c r="G40" s="27">
        <f t="shared" si="0"/>
        <v>2679000</v>
      </c>
      <c r="H40" s="28"/>
      <c r="I40" s="28">
        <f t="shared" si="1"/>
        <v>0</v>
      </c>
      <c r="J40" s="29">
        <f t="shared" si="2"/>
        <v>2679000</v>
      </c>
    </row>
    <row r="41" spans="2:10" x14ac:dyDescent="0.2">
      <c r="B41" s="23">
        <f t="shared" si="3"/>
        <v>11.329999999999993</v>
      </c>
      <c r="C41" s="35" t="s">
        <v>34</v>
      </c>
      <c r="D41" s="78" t="s">
        <v>17</v>
      </c>
      <c r="E41" s="85">
        <v>48</v>
      </c>
      <c r="F41" s="27">
        <v>31385</v>
      </c>
      <c r="G41" s="27">
        <f t="shared" si="0"/>
        <v>1506480</v>
      </c>
      <c r="H41" s="28">
        <v>31603.894349247203</v>
      </c>
      <c r="I41" s="28">
        <f t="shared" si="1"/>
        <v>1516986.9287638657</v>
      </c>
      <c r="J41" s="29">
        <f t="shared" si="2"/>
        <v>3023466.9287638655</v>
      </c>
    </row>
    <row r="42" spans="2:10" x14ac:dyDescent="0.2">
      <c r="B42" s="23">
        <f t="shared" si="3"/>
        <v>11.339999999999993</v>
      </c>
      <c r="C42" s="31" t="s">
        <v>321</v>
      </c>
      <c r="D42" s="85" t="s">
        <v>122</v>
      </c>
      <c r="E42" s="85">
        <v>18</v>
      </c>
      <c r="F42" s="98">
        <v>76579.097999999998</v>
      </c>
      <c r="G42" s="27">
        <f t="shared" si="0"/>
        <v>1378423.764</v>
      </c>
      <c r="H42" s="28"/>
      <c r="I42" s="28">
        <f t="shared" si="1"/>
        <v>0</v>
      </c>
      <c r="J42" s="29">
        <f t="shared" si="2"/>
        <v>1378423.764</v>
      </c>
    </row>
    <row r="43" spans="2:10" x14ac:dyDescent="0.2">
      <c r="B43" s="23">
        <f t="shared" si="3"/>
        <v>11.349999999999993</v>
      </c>
      <c r="C43" s="31" t="s">
        <v>322</v>
      </c>
      <c r="D43" s="85" t="s">
        <v>122</v>
      </c>
      <c r="E43" s="85">
        <v>20</v>
      </c>
      <c r="F43" s="98">
        <v>12759480</v>
      </c>
      <c r="G43" s="27">
        <f t="shared" si="0"/>
        <v>255189600</v>
      </c>
      <c r="H43" s="28">
        <v>5377967</v>
      </c>
      <c r="I43" s="28">
        <f t="shared" si="1"/>
        <v>107559340</v>
      </c>
      <c r="J43" s="29">
        <f t="shared" si="2"/>
        <v>362748940</v>
      </c>
    </row>
    <row r="44" spans="2:10" x14ac:dyDescent="0.2">
      <c r="B44" s="23">
        <f t="shared" si="3"/>
        <v>11.359999999999992</v>
      </c>
      <c r="C44" s="31" t="s">
        <v>323</v>
      </c>
      <c r="D44" s="78" t="s">
        <v>17</v>
      </c>
      <c r="E44" s="85">
        <v>1</v>
      </c>
      <c r="F44" s="98">
        <v>8461488.3080000002</v>
      </c>
      <c r="G44" s="27">
        <f t="shared" si="0"/>
        <v>8461488.3080000002</v>
      </c>
      <c r="H44" s="28">
        <v>2043627.46</v>
      </c>
      <c r="I44" s="28">
        <f t="shared" si="1"/>
        <v>2043627.46</v>
      </c>
      <c r="J44" s="29">
        <f t="shared" si="2"/>
        <v>10505115.767999999</v>
      </c>
    </row>
    <row r="45" spans="2:10" x14ac:dyDescent="0.2">
      <c r="B45" s="23">
        <f t="shared" si="3"/>
        <v>11.369999999999992</v>
      </c>
      <c r="C45" s="31" t="s">
        <v>397</v>
      </c>
      <c r="D45" s="78" t="s">
        <v>17</v>
      </c>
      <c r="E45" s="85">
        <v>1</v>
      </c>
      <c r="F45" s="98">
        <v>70450000</v>
      </c>
      <c r="G45" s="27">
        <f t="shared" si="0"/>
        <v>70450000</v>
      </c>
      <c r="H45" s="28">
        <v>3760000</v>
      </c>
      <c r="I45" s="28">
        <f t="shared" si="1"/>
        <v>3760000</v>
      </c>
      <c r="J45" s="29">
        <f t="shared" si="2"/>
        <v>74210000</v>
      </c>
    </row>
    <row r="46" spans="2:10" x14ac:dyDescent="0.2">
      <c r="B46" s="23">
        <f t="shared" si="3"/>
        <v>11.379999999999992</v>
      </c>
      <c r="C46" s="31" t="s">
        <v>324</v>
      </c>
      <c r="D46" s="78" t="s">
        <v>17</v>
      </c>
      <c r="E46" s="85">
        <v>1</v>
      </c>
      <c r="F46" s="98">
        <v>31845800</v>
      </c>
      <c r="G46" s="27">
        <f t="shared" si="0"/>
        <v>31845800</v>
      </c>
      <c r="H46" s="28">
        <v>5377967</v>
      </c>
      <c r="I46" s="28">
        <f t="shared" si="1"/>
        <v>5377967</v>
      </c>
      <c r="J46" s="29">
        <f t="shared" si="2"/>
        <v>37223767</v>
      </c>
    </row>
    <row r="47" spans="2:10" x14ac:dyDescent="0.2">
      <c r="B47" s="23">
        <f t="shared" si="3"/>
        <v>11.389999999999992</v>
      </c>
      <c r="C47" s="31" t="s">
        <v>325</v>
      </c>
      <c r="D47" s="78" t="s">
        <v>43</v>
      </c>
      <c r="E47" s="85">
        <v>1</v>
      </c>
      <c r="F47" s="98">
        <v>6250000</v>
      </c>
      <c r="G47" s="27">
        <f t="shared" si="0"/>
        <v>6250000</v>
      </c>
      <c r="H47" s="28">
        <v>2600000</v>
      </c>
      <c r="I47" s="28">
        <f t="shared" si="1"/>
        <v>2600000</v>
      </c>
      <c r="J47" s="29">
        <f t="shared" si="2"/>
        <v>8850000</v>
      </c>
    </row>
    <row r="48" spans="2:10" x14ac:dyDescent="0.2">
      <c r="B48" s="23">
        <f t="shared" si="3"/>
        <v>11.399999999999991</v>
      </c>
      <c r="C48" s="31" t="s">
        <v>326</v>
      </c>
      <c r="D48" s="78" t="s">
        <v>43</v>
      </c>
      <c r="E48" s="85">
        <v>1</v>
      </c>
      <c r="F48" s="98">
        <v>20370890.699999999</v>
      </c>
      <c r="G48" s="27">
        <f t="shared" si="0"/>
        <v>20370890.699999999</v>
      </c>
      <c r="H48" s="28">
        <v>5117001.051</v>
      </c>
      <c r="I48" s="28">
        <f t="shared" si="1"/>
        <v>5117001.051</v>
      </c>
      <c r="J48" s="29">
        <f t="shared" si="2"/>
        <v>25487891.750999998</v>
      </c>
    </row>
    <row r="49" spans="2:10" ht="27.75" customHeight="1" x14ac:dyDescent="0.2">
      <c r="B49" s="23">
        <f t="shared" si="3"/>
        <v>11.409999999999991</v>
      </c>
      <c r="C49" s="31" t="s">
        <v>342</v>
      </c>
      <c r="D49" s="78" t="s">
        <v>43</v>
      </c>
      <c r="E49" s="85">
        <v>1</v>
      </c>
      <c r="F49" s="98">
        <v>75825701</v>
      </c>
      <c r="G49" s="27">
        <f t="shared" si="0"/>
        <v>75825701</v>
      </c>
      <c r="H49" s="28">
        <v>34626895</v>
      </c>
      <c r="I49" s="28">
        <f t="shared" si="1"/>
        <v>34626895</v>
      </c>
      <c r="J49" s="29">
        <f t="shared" si="2"/>
        <v>110452596</v>
      </c>
    </row>
    <row r="50" spans="2:10" x14ac:dyDescent="0.2">
      <c r="B50" s="23">
        <f t="shared" si="3"/>
        <v>11.419999999999991</v>
      </c>
      <c r="C50" s="31" t="s">
        <v>327</v>
      </c>
      <c r="D50" s="78" t="s">
        <v>43</v>
      </c>
      <c r="E50" s="85">
        <v>1</v>
      </c>
      <c r="F50" s="98">
        <v>230000000</v>
      </c>
      <c r="G50" s="27">
        <f t="shared" si="0"/>
        <v>230000000</v>
      </c>
      <c r="H50" s="28"/>
      <c r="I50" s="28">
        <f t="shared" si="1"/>
        <v>0</v>
      </c>
      <c r="J50" s="29">
        <f t="shared" si="2"/>
        <v>230000000</v>
      </c>
    </row>
    <row r="51" spans="2:10" ht="27.75" customHeight="1" x14ac:dyDescent="0.2">
      <c r="B51" s="23">
        <f t="shared" si="3"/>
        <v>11.429999999999991</v>
      </c>
      <c r="C51" s="36" t="s">
        <v>35</v>
      </c>
      <c r="D51" s="103" t="s">
        <v>17</v>
      </c>
      <c r="E51" s="85">
        <v>1</v>
      </c>
      <c r="F51" s="27">
        <v>192904</v>
      </c>
      <c r="G51" s="27">
        <f t="shared" si="0"/>
        <v>192904</v>
      </c>
      <c r="H51" s="28">
        <v>170263</v>
      </c>
      <c r="I51" s="28">
        <f t="shared" si="1"/>
        <v>170263</v>
      </c>
      <c r="J51" s="29">
        <f t="shared" si="2"/>
        <v>363167</v>
      </c>
    </row>
    <row r="52" spans="2:10" ht="25.5" x14ac:dyDescent="0.2">
      <c r="B52" s="23">
        <f t="shared" si="3"/>
        <v>11.439999999999991</v>
      </c>
      <c r="C52" s="34" t="s">
        <v>36</v>
      </c>
      <c r="D52" s="78" t="s">
        <v>17</v>
      </c>
      <c r="E52" s="85">
        <v>2</v>
      </c>
      <c r="F52" s="27">
        <v>962106</v>
      </c>
      <c r="G52" s="27">
        <f t="shared" si="0"/>
        <v>1924212</v>
      </c>
      <c r="H52" s="28">
        <v>817672.19688000006</v>
      </c>
      <c r="I52" s="28">
        <f t="shared" si="1"/>
        <v>1635344.3937600001</v>
      </c>
      <c r="J52" s="29">
        <f t="shared" si="2"/>
        <v>3559556.3937600004</v>
      </c>
    </row>
    <row r="53" spans="2:10" x14ac:dyDescent="0.2">
      <c r="B53" s="23">
        <f t="shared" si="3"/>
        <v>11.44999999999999</v>
      </c>
      <c r="C53" s="36" t="s">
        <v>37</v>
      </c>
      <c r="D53" s="25" t="s">
        <v>17</v>
      </c>
      <c r="E53" s="85">
        <v>1</v>
      </c>
      <c r="F53" s="27">
        <v>455761</v>
      </c>
      <c r="G53" s="27">
        <f t="shared" si="0"/>
        <v>455761</v>
      </c>
      <c r="H53" s="28">
        <v>97455</v>
      </c>
      <c r="I53" s="28">
        <f t="shared" si="1"/>
        <v>97455</v>
      </c>
      <c r="J53" s="29">
        <f t="shared" si="2"/>
        <v>553216</v>
      </c>
    </row>
    <row r="54" spans="2:10" ht="25.5" x14ac:dyDescent="0.2">
      <c r="B54" s="23">
        <f t="shared" si="3"/>
        <v>11.45999999999999</v>
      </c>
      <c r="C54" s="34" t="s">
        <v>328</v>
      </c>
      <c r="D54" s="78" t="s">
        <v>17</v>
      </c>
      <c r="E54" s="85">
        <v>1</v>
      </c>
      <c r="F54" s="27">
        <v>263833</v>
      </c>
      <c r="G54" s="27">
        <f t="shared" si="0"/>
        <v>263833</v>
      </c>
      <c r="H54" s="28">
        <v>2265263.3868821794</v>
      </c>
      <c r="I54" s="28">
        <f t="shared" si="1"/>
        <v>2265263.3868821794</v>
      </c>
      <c r="J54" s="29">
        <f t="shared" si="2"/>
        <v>2529096.3868821794</v>
      </c>
    </row>
    <row r="55" spans="2:10" x14ac:dyDescent="0.2">
      <c r="B55" s="23">
        <f t="shared" si="3"/>
        <v>11.46999999999999</v>
      </c>
      <c r="C55" s="36" t="s">
        <v>41</v>
      </c>
      <c r="D55" s="25" t="s">
        <v>17</v>
      </c>
      <c r="E55" s="85">
        <v>96</v>
      </c>
      <c r="F55" s="27">
        <v>7441</v>
      </c>
      <c r="G55" s="27">
        <f t="shared" si="0"/>
        <v>714336</v>
      </c>
      <c r="H55" s="28">
        <v>45514</v>
      </c>
      <c r="I55" s="28">
        <f t="shared" si="1"/>
        <v>4369344</v>
      </c>
      <c r="J55" s="29">
        <f t="shared" si="2"/>
        <v>5083680</v>
      </c>
    </row>
    <row r="56" spans="2:10" x14ac:dyDescent="0.2">
      <c r="B56" s="23">
        <f t="shared" si="3"/>
        <v>11.47999999999999</v>
      </c>
      <c r="C56" s="31" t="s">
        <v>74</v>
      </c>
      <c r="D56" s="78" t="s">
        <v>43</v>
      </c>
      <c r="E56" s="85">
        <v>1</v>
      </c>
      <c r="F56" s="27">
        <v>2977793.9000000004</v>
      </c>
      <c r="G56" s="27">
        <f t="shared" si="0"/>
        <v>2977793.9000000004</v>
      </c>
      <c r="H56" s="28"/>
      <c r="I56" s="28">
        <f t="shared" si="1"/>
        <v>0</v>
      </c>
      <c r="J56" s="29"/>
    </row>
    <row r="57" spans="2:10" ht="13.5" thickBot="1" x14ac:dyDescent="0.25">
      <c r="B57" s="23">
        <f t="shared" si="3"/>
        <v>11.48999999999999</v>
      </c>
      <c r="C57" s="67" t="s">
        <v>44</v>
      </c>
      <c r="D57" s="81" t="s">
        <v>43</v>
      </c>
      <c r="E57" s="151">
        <v>1</v>
      </c>
      <c r="F57" s="152">
        <v>9000000</v>
      </c>
      <c r="G57" s="40">
        <f t="shared" si="0"/>
        <v>9000000</v>
      </c>
      <c r="H57" s="41"/>
      <c r="I57" s="41">
        <f t="shared" si="1"/>
        <v>0</v>
      </c>
      <c r="J57" s="42">
        <f t="shared" si="2"/>
        <v>9000000</v>
      </c>
    </row>
    <row r="58" spans="2:10" ht="13.5" thickBot="1" x14ac:dyDescent="0.25"/>
    <row r="59" spans="2:10" ht="15.75" x14ac:dyDescent="0.2">
      <c r="F59" s="44"/>
      <c r="G59" s="45"/>
      <c r="H59" s="46" t="s">
        <v>45</v>
      </c>
      <c r="I59" s="47"/>
      <c r="J59" s="48">
        <f>SUM(J9:J57)</f>
        <v>3934077022.504406</v>
      </c>
    </row>
    <row r="60" spans="2:10" x14ac:dyDescent="0.2">
      <c r="F60" s="49" t="s">
        <v>46</v>
      </c>
      <c r="G60" s="50"/>
      <c r="H60" s="51"/>
      <c r="I60" s="52">
        <v>0.22</v>
      </c>
      <c r="J60" s="29">
        <f>J59*I60</f>
        <v>865496944.95096934</v>
      </c>
    </row>
    <row r="61" spans="2:10" x14ac:dyDescent="0.2">
      <c r="F61" s="49" t="s">
        <v>47</v>
      </c>
      <c r="G61" s="50"/>
      <c r="H61" s="51"/>
      <c r="I61" s="52">
        <v>0.04</v>
      </c>
      <c r="J61" s="29">
        <f>J59*I61</f>
        <v>157363080.90017626</v>
      </c>
    </row>
    <row r="62" spans="2:10" x14ac:dyDescent="0.2">
      <c r="F62" s="49" t="s">
        <v>48</v>
      </c>
      <c r="G62" s="50"/>
      <c r="H62" s="51"/>
      <c r="I62" s="52">
        <v>0.04</v>
      </c>
      <c r="J62" s="29">
        <f>J59*I62</f>
        <v>157363080.90017626</v>
      </c>
    </row>
    <row r="63" spans="2:10" x14ac:dyDescent="0.2">
      <c r="F63" s="49" t="s">
        <v>49</v>
      </c>
      <c r="G63" s="50"/>
      <c r="H63" s="51"/>
      <c r="I63" s="53"/>
      <c r="J63" s="29"/>
    </row>
    <row r="64" spans="2:10" x14ac:dyDescent="0.2">
      <c r="F64" s="49" t="s">
        <v>50</v>
      </c>
      <c r="G64" s="50"/>
      <c r="H64" s="51"/>
      <c r="I64" s="52">
        <v>0.19</v>
      </c>
      <c r="J64" s="29">
        <f>J62*I64</f>
        <v>29898985.37103349</v>
      </c>
    </row>
    <row r="65" spans="6:10" x14ac:dyDescent="0.2">
      <c r="F65" s="54"/>
      <c r="G65" s="50"/>
      <c r="H65" s="51"/>
      <c r="I65" s="55"/>
      <c r="J65" s="29"/>
    </row>
    <row r="66" spans="6:10" ht="16.5" thickBot="1" x14ac:dyDescent="0.25">
      <c r="F66" s="56"/>
      <c r="G66" s="57"/>
      <c r="H66" s="58" t="s">
        <v>51</v>
      </c>
      <c r="I66" s="41"/>
      <c r="J66" s="59">
        <f>SUM(J59:J64)</f>
        <v>5144199114.6267614</v>
      </c>
    </row>
  </sheetData>
  <mergeCells count="4">
    <mergeCell ref="F6:G6"/>
    <mergeCell ref="H6:I6"/>
    <mergeCell ref="B7:B8"/>
    <mergeCell ref="C7:C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822-4B06-4F18-BB3F-13CE7A128ACB}">
  <sheetPr>
    <tabColor rgb="FF92D050"/>
  </sheetPr>
  <dimension ref="A1:J39"/>
  <sheetViews>
    <sheetView workbookViewId="0"/>
  </sheetViews>
  <sheetFormatPr baseColWidth="10" defaultColWidth="11" defaultRowHeight="12.75" x14ac:dyDescent="0.2"/>
  <cols>
    <col min="1" max="1" width="5.375" style="138" customWidth="1"/>
    <col min="2" max="2" width="6.125" style="138" customWidth="1"/>
    <col min="3" max="3" width="60.625" style="138" customWidth="1"/>
    <col min="4" max="5" width="9.625" style="138" customWidth="1"/>
    <col min="6" max="10" width="11.625" style="138" customWidth="1"/>
    <col min="11" max="16384" width="11" style="138"/>
  </cols>
  <sheetData>
    <row r="1" spans="1:10" s="90" customFormat="1" ht="15" x14ac:dyDescent="0.2">
      <c r="A1" s="2"/>
      <c r="B1" s="8"/>
      <c r="C1" s="2"/>
      <c r="D1" s="2"/>
      <c r="E1" s="4"/>
      <c r="F1" s="5"/>
      <c r="G1" s="5"/>
    </row>
    <row r="2" spans="1:10" s="90" customFormat="1" ht="15.75" x14ac:dyDescent="0.25">
      <c r="A2" s="2"/>
      <c r="B2" s="1" t="s">
        <v>0</v>
      </c>
      <c r="C2" s="2"/>
      <c r="D2" s="3"/>
      <c r="E2" s="4"/>
      <c r="F2" s="5"/>
      <c r="G2" s="5"/>
    </row>
    <row r="3" spans="1:10" s="90" customFormat="1" ht="15.75" x14ac:dyDescent="0.25">
      <c r="A3" s="2"/>
      <c r="B3" s="1" t="s">
        <v>1</v>
      </c>
      <c r="C3" s="5"/>
      <c r="D3" s="6" t="s">
        <v>2</v>
      </c>
      <c r="E3" s="4"/>
      <c r="F3" s="5"/>
      <c r="G3" s="5"/>
    </row>
    <row r="4" spans="1:10" s="90" customFormat="1" ht="15.75" x14ac:dyDescent="0.25">
      <c r="A4" s="2"/>
      <c r="B4" s="1" t="s">
        <v>343</v>
      </c>
      <c r="C4" s="2"/>
      <c r="D4" s="3"/>
      <c r="E4" s="4"/>
      <c r="F4" s="5"/>
      <c r="G4" s="5"/>
    </row>
    <row r="5" spans="1:10" s="90" customFormat="1" ht="15.75" x14ac:dyDescent="0.25">
      <c r="A5" s="2"/>
      <c r="B5" s="1" t="s">
        <v>361</v>
      </c>
      <c r="C5" s="2"/>
      <c r="D5" s="3"/>
      <c r="E5" s="4"/>
      <c r="F5" s="5"/>
      <c r="G5" s="5"/>
    </row>
    <row r="6" spans="1:10" s="90" customFormat="1" ht="15.75" thickBot="1" x14ac:dyDescent="0.25">
      <c r="A6" s="2"/>
      <c r="B6" s="8"/>
      <c r="C6" s="2"/>
      <c r="D6" s="2"/>
      <c r="E6" s="4"/>
      <c r="F6" s="5"/>
      <c r="G6" s="5"/>
    </row>
    <row r="7" spans="1:10" s="3" customFormat="1" ht="54.95" customHeight="1" x14ac:dyDescent="0.25">
      <c r="A7" s="14"/>
      <c r="B7" s="11" t="s">
        <v>3</v>
      </c>
      <c r="C7" s="12" t="s">
        <v>4</v>
      </c>
      <c r="D7" s="12" t="s">
        <v>5</v>
      </c>
      <c r="E7" s="12" t="s">
        <v>6</v>
      </c>
      <c r="F7" s="400" t="s">
        <v>7</v>
      </c>
      <c r="G7" s="400"/>
      <c r="H7" s="400" t="s">
        <v>8</v>
      </c>
      <c r="I7" s="400"/>
      <c r="J7" s="129" t="s">
        <v>9</v>
      </c>
    </row>
    <row r="8" spans="1:10" s="90" customFormat="1" ht="27.75" customHeight="1" x14ac:dyDescent="0.2">
      <c r="A8" s="2"/>
      <c r="B8" s="402">
        <v>12</v>
      </c>
      <c r="C8" s="404" t="s">
        <v>344</v>
      </c>
      <c r="D8" s="15"/>
      <c r="E8" s="16"/>
      <c r="F8" s="17" t="s">
        <v>11</v>
      </c>
      <c r="G8" s="17" t="s">
        <v>12</v>
      </c>
      <c r="H8" s="17" t="s">
        <v>11</v>
      </c>
      <c r="I8" s="17" t="s">
        <v>13</v>
      </c>
      <c r="J8" s="18" t="s">
        <v>14</v>
      </c>
    </row>
    <row r="9" spans="1:10" s="90" customFormat="1" ht="27.75" customHeight="1" x14ac:dyDescent="0.2">
      <c r="A9" s="2"/>
      <c r="B9" s="407"/>
      <c r="C9" s="408"/>
      <c r="D9" s="155"/>
      <c r="E9" s="169" t="s">
        <v>14</v>
      </c>
      <c r="F9" s="156" t="s">
        <v>15</v>
      </c>
      <c r="G9" s="156" t="s">
        <v>15</v>
      </c>
      <c r="H9" s="156" t="s">
        <v>15</v>
      </c>
      <c r="I9" s="156" t="s">
        <v>15</v>
      </c>
      <c r="J9" s="157" t="s">
        <v>15</v>
      </c>
    </row>
    <row r="10" spans="1:10" x14ac:dyDescent="0.2">
      <c r="A10" s="30"/>
      <c r="B10" s="23">
        <f>B8+0.01</f>
        <v>12.01</v>
      </c>
      <c r="C10" s="158" t="s">
        <v>351</v>
      </c>
      <c r="D10" s="25" t="s">
        <v>17</v>
      </c>
      <c r="E10" s="26">
        <v>8</v>
      </c>
      <c r="F10" s="27">
        <v>220981.38914634148</v>
      </c>
      <c r="G10" s="27">
        <f>E10*F10</f>
        <v>1767851.1131707318</v>
      </c>
      <c r="H10" s="28">
        <v>80216.244260121908</v>
      </c>
      <c r="I10" s="28">
        <f>E10*H10</f>
        <v>641729.95408097527</v>
      </c>
      <c r="J10" s="29">
        <f>G10+I10</f>
        <v>2409581.067251707</v>
      </c>
    </row>
    <row r="11" spans="1:10" x14ac:dyDescent="0.2">
      <c r="B11" s="23">
        <f>B10+0.01</f>
        <v>12.02</v>
      </c>
      <c r="C11" s="158" t="s">
        <v>352</v>
      </c>
      <c r="D11" s="25" t="s">
        <v>17</v>
      </c>
      <c r="E11" s="26">
        <v>0</v>
      </c>
      <c r="F11" s="27">
        <v>210421.59036585366</v>
      </c>
      <c r="G11" s="27">
        <f t="shared" ref="G11:G25" si="0">E11*F11</f>
        <v>0</v>
      </c>
      <c r="H11" s="28">
        <v>76383.037302804878</v>
      </c>
      <c r="I11" s="28">
        <f t="shared" ref="I11:I25" si="1">E11*H11</f>
        <v>0</v>
      </c>
      <c r="J11" s="29">
        <f t="shared" ref="J11:J25" si="2">G11+I11</f>
        <v>0</v>
      </c>
    </row>
    <row r="12" spans="1:10" ht="24" x14ac:dyDescent="0.2">
      <c r="B12" s="23">
        <f t="shared" ref="B12:B25" si="3">B11+0.01</f>
        <v>12.03</v>
      </c>
      <c r="C12" s="158" t="s">
        <v>353</v>
      </c>
      <c r="D12" s="25" t="s">
        <v>17</v>
      </c>
      <c r="E12" s="26">
        <v>8</v>
      </c>
      <c r="F12" s="27">
        <v>673081.57426829264</v>
      </c>
      <c r="G12" s="27">
        <f t="shared" si="0"/>
        <v>5384652.5941463411</v>
      </c>
      <c r="H12" s="28">
        <v>244328.61145939046</v>
      </c>
      <c r="I12" s="28">
        <f t="shared" si="1"/>
        <v>1954628.8916751237</v>
      </c>
      <c r="J12" s="29">
        <f t="shared" si="2"/>
        <v>7339281.485821465</v>
      </c>
    </row>
    <row r="13" spans="1:10" x14ac:dyDescent="0.2">
      <c r="B13" s="23">
        <f t="shared" si="3"/>
        <v>12.04</v>
      </c>
      <c r="C13" s="158" t="s">
        <v>354</v>
      </c>
      <c r="D13" s="25" t="s">
        <v>17</v>
      </c>
      <c r="E13" s="26">
        <v>8</v>
      </c>
      <c r="F13" s="27">
        <v>166563.22609756095</v>
      </c>
      <c r="G13" s="27">
        <f t="shared" si="0"/>
        <v>1332505.8087804876</v>
      </c>
      <c r="H13" s="28">
        <v>60462.451073414646</v>
      </c>
      <c r="I13" s="28">
        <f t="shared" si="1"/>
        <v>483699.60858731717</v>
      </c>
      <c r="J13" s="29">
        <f t="shared" si="2"/>
        <v>1816205.4173678048</v>
      </c>
    </row>
    <row r="14" spans="1:10" x14ac:dyDescent="0.2">
      <c r="B14" s="23">
        <f t="shared" si="3"/>
        <v>12.049999999999999</v>
      </c>
      <c r="C14" s="158" t="s">
        <v>355</v>
      </c>
      <c r="D14" s="25" t="s">
        <v>17</v>
      </c>
      <c r="E14" s="26">
        <v>0</v>
      </c>
      <c r="F14" s="27">
        <v>13076.939024390244</v>
      </c>
      <c r="G14" s="27">
        <f t="shared" si="0"/>
        <v>0</v>
      </c>
      <c r="H14" s="28">
        <v>4746.9288658536543</v>
      </c>
      <c r="I14" s="28">
        <f t="shared" si="1"/>
        <v>0</v>
      </c>
      <c r="J14" s="29">
        <f t="shared" si="2"/>
        <v>0</v>
      </c>
    </row>
    <row r="15" spans="1:10" ht="36" x14ac:dyDescent="0.2">
      <c r="B15" s="23">
        <f t="shared" si="3"/>
        <v>12.059999999999999</v>
      </c>
      <c r="C15" s="158" t="s">
        <v>356</v>
      </c>
      <c r="D15" s="25" t="s">
        <v>17</v>
      </c>
      <c r="E15" s="26">
        <v>2</v>
      </c>
      <c r="F15" s="27">
        <v>8799832.3170731701</v>
      </c>
      <c r="G15" s="27">
        <f t="shared" si="0"/>
        <v>17599664.63414634</v>
      </c>
      <c r="H15" s="28">
        <v>3194339.1310975594</v>
      </c>
      <c r="I15" s="28">
        <f t="shared" si="1"/>
        <v>6388678.2621951187</v>
      </c>
      <c r="J15" s="29">
        <f t="shared" si="2"/>
        <v>23988342.896341458</v>
      </c>
    </row>
    <row r="16" spans="1:10" ht="24" x14ac:dyDescent="0.2">
      <c r="B16" s="23">
        <f t="shared" si="3"/>
        <v>12.069999999999999</v>
      </c>
      <c r="C16" s="158" t="s">
        <v>357</v>
      </c>
      <c r="D16" s="25" t="s">
        <v>17</v>
      </c>
      <c r="E16" s="26">
        <v>0</v>
      </c>
      <c r="F16" s="27">
        <v>4329517.5</v>
      </c>
      <c r="G16" s="27">
        <f t="shared" si="0"/>
        <v>0</v>
      </c>
      <c r="H16" s="28">
        <v>1571614.8525</v>
      </c>
      <c r="I16" s="28">
        <f t="shared" si="1"/>
        <v>0</v>
      </c>
      <c r="J16" s="29">
        <f t="shared" si="2"/>
        <v>0</v>
      </c>
    </row>
    <row r="17" spans="2:10" x14ac:dyDescent="0.2">
      <c r="B17" s="23">
        <f t="shared" si="3"/>
        <v>12.079999999999998</v>
      </c>
      <c r="C17" s="158" t="s">
        <v>358</v>
      </c>
      <c r="D17" s="25" t="s">
        <v>17</v>
      </c>
      <c r="E17" s="26">
        <v>0</v>
      </c>
      <c r="F17" s="27">
        <v>3167939.6341463416</v>
      </c>
      <c r="G17" s="27">
        <f t="shared" si="0"/>
        <v>0</v>
      </c>
      <c r="H17" s="28">
        <v>1149962.0871951215</v>
      </c>
      <c r="I17" s="28">
        <f t="shared" si="1"/>
        <v>0</v>
      </c>
      <c r="J17" s="29">
        <f t="shared" si="2"/>
        <v>0</v>
      </c>
    </row>
    <row r="18" spans="2:10" ht="36" x14ac:dyDescent="0.2">
      <c r="B18" s="23">
        <f t="shared" si="3"/>
        <v>12.089999999999998</v>
      </c>
      <c r="C18" s="158" t="s">
        <v>359</v>
      </c>
      <c r="D18" s="25" t="s">
        <v>17</v>
      </c>
      <c r="E18" s="26">
        <v>2</v>
      </c>
      <c r="F18" s="27">
        <v>3379135.6097560972</v>
      </c>
      <c r="G18" s="27">
        <f t="shared" si="0"/>
        <v>6758271.2195121944</v>
      </c>
      <c r="H18" s="28">
        <v>1226626.2263414643</v>
      </c>
      <c r="I18" s="28">
        <f t="shared" si="1"/>
        <v>2453252.4526829286</v>
      </c>
      <c r="J18" s="29">
        <f t="shared" si="2"/>
        <v>9211523.6721951235</v>
      </c>
    </row>
    <row r="19" spans="2:10" x14ac:dyDescent="0.2">
      <c r="B19" s="23">
        <f t="shared" si="3"/>
        <v>12.099999999999998</v>
      </c>
      <c r="C19" s="158" t="s">
        <v>345</v>
      </c>
      <c r="D19" s="25" t="s">
        <v>17</v>
      </c>
      <c r="E19" s="26">
        <v>40</v>
      </c>
      <c r="F19" s="27">
        <v>12742.157195121952</v>
      </c>
      <c r="G19" s="27">
        <f t="shared" si="0"/>
        <v>509686.28780487808</v>
      </c>
      <c r="H19" s="28">
        <v>4625.4030618292736</v>
      </c>
      <c r="I19" s="28">
        <f t="shared" si="1"/>
        <v>185016.12247317095</v>
      </c>
      <c r="J19" s="29">
        <f t="shared" si="2"/>
        <v>694702.41027804906</v>
      </c>
    </row>
    <row r="20" spans="2:10" x14ac:dyDescent="0.2">
      <c r="B20" s="23">
        <f t="shared" si="3"/>
        <v>12.109999999999998</v>
      </c>
      <c r="C20" s="158" t="s">
        <v>346</v>
      </c>
      <c r="D20" s="25" t="s">
        <v>122</v>
      </c>
      <c r="E20" s="26">
        <v>24</v>
      </c>
      <c r="F20" s="27">
        <v>168834.87804878046</v>
      </c>
      <c r="G20" s="27">
        <f t="shared" si="0"/>
        <v>4052037.0731707308</v>
      </c>
      <c r="H20" s="28">
        <v>96578.658536585353</v>
      </c>
      <c r="I20" s="28">
        <f t="shared" si="1"/>
        <v>2317887.8048780486</v>
      </c>
      <c r="J20" s="29">
        <f t="shared" si="2"/>
        <v>6369924.8780487794</v>
      </c>
    </row>
    <row r="21" spans="2:10" x14ac:dyDescent="0.2">
      <c r="B21" s="23">
        <f t="shared" si="3"/>
        <v>12.119999999999997</v>
      </c>
      <c r="C21" s="158" t="s">
        <v>347</v>
      </c>
      <c r="D21" s="25" t="s">
        <v>122</v>
      </c>
      <c r="E21" s="26">
        <v>12</v>
      </c>
      <c r="F21" s="27">
        <v>102056.72195121952</v>
      </c>
      <c r="G21" s="27">
        <f t="shared" si="0"/>
        <v>1224680.6634146343</v>
      </c>
      <c r="H21" s="28">
        <v>32836.743902439048</v>
      </c>
      <c r="I21" s="28">
        <f t="shared" si="1"/>
        <v>394040.92682926857</v>
      </c>
      <c r="J21" s="29">
        <f t="shared" si="2"/>
        <v>1618721.590243903</v>
      </c>
    </row>
    <row r="22" spans="2:10" x14ac:dyDescent="0.2">
      <c r="B22" s="23">
        <f t="shared" si="3"/>
        <v>12.129999999999997</v>
      </c>
      <c r="C22" s="158" t="s">
        <v>348</v>
      </c>
      <c r="D22" s="25" t="s">
        <v>122</v>
      </c>
      <c r="E22" s="26">
        <v>60</v>
      </c>
      <c r="F22" s="27">
        <v>82042.126463414621</v>
      </c>
      <c r="G22" s="27">
        <f t="shared" si="0"/>
        <v>4922527.5878048772</v>
      </c>
      <c r="H22" s="28">
        <v>32836.743902439048</v>
      </c>
      <c r="I22" s="28">
        <f t="shared" si="1"/>
        <v>1970204.634146343</v>
      </c>
      <c r="J22" s="29">
        <f t="shared" si="2"/>
        <v>6892732.2219512202</v>
      </c>
    </row>
    <row r="23" spans="2:10" x14ac:dyDescent="0.2">
      <c r="B23" s="23">
        <f t="shared" si="3"/>
        <v>12.139999999999997</v>
      </c>
      <c r="C23" s="158" t="s">
        <v>349</v>
      </c>
      <c r="D23" s="25" t="s">
        <v>122</v>
      </c>
      <c r="E23" s="26">
        <v>900</v>
      </c>
      <c r="F23" s="27">
        <v>3287.1585365853657</v>
      </c>
      <c r="G23" s="27">
        <f t="shared" si="0"/>
        <v>2958442.682926829</v>
      </c>
      <c r="H23" s="28">
        <v>3628.0487804878048</v>
      </c>
      <c r="I23" s="28">
        <f t="shared" si="1"/>
        <v>3265243.9024390243</v>
      </c>
      <c r="J23" s="29">
        <f t="shared" si="2"/>
        <v>6223686.5853658533</v>
      </c>
    </row>
    <row r="24" spans="2:10" x14ac:dyDescent="0.2">
      <c r="B24" s="23">
        <f t="shared" si="3"/>
        <v>12.149999999999997</v>
      </c>
      <c r="C24" s="158" t="s">
        <v>350</v>
      </c>
      <c r="D24" s="25" t="s">
        <v>122</v>
      </c>
      <c r="E24" s="26">
        <v>440</v>
      </c>
      <c r="F24" s="27">
        <v>2427.8902439024387</v>
      </c>
      <c r="G24" s="27">
        <f t="shared" si="0"/>
        <v>1068271.7073170729</v>
      </c>
      <c r="H24" s="28">
        <v>8428.6829268292731</v>
      </c>
      <c r="I24" s="28">
        <f t="shared" si="1"/>
        <v>3708620.4878048804</v>
      </c>
      <c r="J24" s="29">
        <f t="shared" si="2"/>
        <v>4776892.1951219533</v>
      </c>
    </row>
    <row r="25" spans="2:10" ht="13.5" thickBot="1" x14ac:dyDescent="0.25">
      <c r="B25" s="37">
        <f t="shared" si="3"/>
        <v>12.159999999999997</v>
      </c>
      <c r="C25" s="159" t="s">
        <v>360</v>
      </c>
      <c r="D25" s="38" t="s">
        <v>43</v>
      </c>
      <c r="E25" s="39">
        <v>1</v>
      </c>
      <c r="F25" s="40"/>
      <c r="G25" s="40">
        <f t="shared" si="0"/>
        <v>0</v>
      </c>
      <c r="H25" s="41">
        <v>7082926.8292682972</v>
      </c>
      <c r="I25" s="41">
        <f t="shared" si="1"/>
        <v>7082926.8292682972</v>
      </c>
      <c r="J25" s="42">
        <f t="shared" si="2"/>
        <v>7082926.8292682972</v>
      </c>
    </row>
    <row r="26" spans="2:10" ht="13.5" thickBot="1" x14ac:dyDescent="0.25"/>
    <row r="27" spans="2:10" ht="15.75" x14ac:dyDescent="0.2">
      <c r="F27" s="44"/>
      <c r="G27" s="45"/>
      <c r="H27" s="46" t="s">
        <v>45</v>
      </c>
      <c r="I27" s="47"/>
      <c r="J27" s="48">
        <f>SUM(J10:J25)</f>
        <v>78424521.249255612</v>
      </c>
    </row>
    <row r="28" spans="2:10" x14ac:dyDescent="0.2">
      <c r="F28" s="49" t="s">
        <v>46</v>
      </c>
      <c r="G28" s="50"/>
      <c r="H28" s="51"/>
      <c r="I28" s="52">
        <v>0.22</v>
      </c>
      <c r="J28" s="29">
        <f>J27*I28</f>
        <v>17253394.674836233</v>
      </c>
    </row>
    <row r="29" spans="2:10" x14ac:dyDescent="0.2">
      <c r="F29" s="49" t="s">
        <v>47</v>
      </c>
      <c r="G29" s="50"/>
      <c r="H29" s="51"/>
      <c r="I29" s="52">
        <v>0.04</v>
      </c>
      <c r="J29" s="29">
        <f>J27*I29</f>
        <v>3136980.8499702248</v>
      </c>
    </row>
    <row r="30" spans="2:10" x14ac:dyDescent="0.2">
      <c r="F30" s="49" t="s">
        <v>48</v>
      </c>
      <c r="G30" s="50"/>
      <c r="H30" s="51"/>
      <c r="I30" s="52">
        <v>0.04</v>
      </c>
      <c r="J30" s="29">
        <f>J27*I30</f>
        <v>3136980.8499702248</v>
      </c>
    </row>
    <row r="31" spans="2:10" x14ac:dyDescent="0.2">
      <c r="F31" s="49" t="s">
        <v>49</v>
      </c>
      <c r="G31" s="50"/>
      <c r="H31" s="51"/>
      <c r="I31" s="53"/>
      <c r="J31" s="29"/>
    </row>
    <row r="32" spans="2:10" x14ac:dyDescent="0.2">
      <c r="F32" s="49" t="s">
        <v>50</v>
      </c>
      <c r="G32" s="50"/>
      <c r="H32" s="51"/>
      <c r="I32" s="52">
        <v>0.19</v>
      </c>
      <c r="J32" s="29">
        <f>J30*I32</f>
        <v>596026.36149434268</v>
      </c>
    </row>
    <row r="33" spans="6:10" x14ac:dyDescent="0.2">
      <c r="F33" s="54"/>
      <c r="G33" s="50"/>
      <c r="H33" s="51"/>
      <c r="I33" s="55"/>
      <c r="J33" s="29"/>
    </row>
    <row r="34" spans="6:10" ht="16.5" thickBot="1" x14ac:dyDescent="0.25">
      <c r="F34" s="56"/>
      <c r="G34" s="57"/>
      <c r="H34" s="58" t="s">
        <v>51</v>
      </c>
      <c r="I34" s="41"/>
      <c r="J34" s="59">
        <f>SUM(J27:J32)</f>
        <v>102547903.98552664</v>
      </c>
    </row>
    <row r="37" spans="6:10" x14ac:dyDescent="0.2">
      <c r="H37" s="160"/>
    </row>
    <row r="39" spans="6:10" x14ac:dyDescent="0.2">
      <c r="H39" s="160"/>
    </row>
  </sheetData>
  <mergeCells count="4">
    <mergeCell ref="F7:G7"/>
    <mergeCell ref="H7:I7"/>
    <mergeCell ref="B8:B9"/>
    <mergeCell ref="C8:C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08996-8817-4913-BDB4-F87F1D0051A7}">
  <sheetPr>
    <tabColor rgb="FF92D050"/>
  </sheetPr>
  <dimension ref="A1:N25"/>
  <sheetViews>
    <sheetView topLeftCell="A5" workbookViewId="0">
      <selection activeCell="A2" sqref="A2"/>
    </sheetView>
  </sheetViews>
  <sheetFormatPr baseColWidth="10" defaultColWidth="11" defaultRowHeight="12.75" x14ac:dyDescent="0.2"/>
  <cols>
    <col min="1" max="1" width="5.375" style="138" customWidth="1"/>
    <col min="2" max="2" width="6.125" style="138" customWidth="1"/>
    <col min="3" max="3" width="60.625" style="138" customWidth="1"/>
    <col min="4" max="5" width="9.625" style="138" customWidth="1"/>
    <col min="6" max="10" width="11.625" style="138" customWidth="1"/>
    <col min="11" max="16384" width="11" style="138"/>
  </cols>
  <sheetData>
    <row r="1" spans="1:10" s="90" customFormat="1" ht="15" x14ac:dyDescent="0.2">
      <c r="A1" s="2"/>
      <c r="B1" s="8"/>
      <c r="C1" s="2"/>
      <c r="D1" s="2"/>
      <c r="E1" s="4"/>
      <c r="F1" s="5"/>
      <c r="G1" s="5"/>
    </row>
    <row r="2" spans="1:10" s="90" customFormat="1" ht="15.75" x14ac:dyDescent="0.25">
      <c r="A2" s="2"/>
      <c r="B2" s="1" t="s">
        <v>0</v>
      </c>
      <c r="C2" s="2"/>
      <c r="D2" s="3"/>
      <c r="E2" s="4"/>
      <c r="F2" s="5"/>
      <c r="G2" s="5"/>
    </row>
    <row r="3" spans="1:10" s="90" customFormat="1" ht="15.75" x14ac:dyDescent="0.25">
      <c r="A3" s="2"/>
      <c r="B3" s="1" t="s">
        <v>1</v>
      </c>
      <c r="C3" s="5"/>
      <c r="D3" s="6" t="s">
        <v>2</v>
      </c>
      <c r="E3" s="4"/>
      <c r="F3" s="5"/>
      <c r="G3" s="5"/>
    </row>
    <row r="4" spans="1:10" s="90" customFormat="1" ht="15.75" x14ac:dyDescent="0.25">
      <c r="A4" s="2"/>
      <c r="B4" s="1" t="s">
        <v>329</v>
      </c>
      <c r="C4" s="2"/>
      <c r="D4" s="3"/>
      <c r="E4" s="4"/>
      <c r="F4" s="5"/>
      <c r="G4" s="5"/>
    </row>
    <row r="5" spans="1:10" s="90" customFormat="1" ht="15.75" x14ac:dyDescent="0.25">
      <c r="A5" s="2"/>
      <c r="B5" s="1" t="s">
        <v>361</v>
      </c>
      <c r="C5" s="2"/>
      <c r="D5" s="3"/>
      <c r="E5" s="4"/>
      <c r="F5" s="5"/>
      <c r="G5" s="5"/>
    </row>
    <row r="6" spans="1:10" s="90" customFormat="1" ht="15.75" thickBot="1" x14ac:dyDescent="0.25">
      <c r="A6" s="2"/>
      <c r="B6" s="8"/>
      <c r="C6" s="2"/>
      <c r="D6" s="2"/>
      <c r="E6" s="4"/>
      <c r="F6" s="5"/>
      <c r="G6" s="5"/>
    </row>
    <row r="7" spans="1:10" s="3" customFormat="1" ht="31.5" x14ac:dyDescent="0.25">
      <c r="A7" s="14"/>
      <c r="B7" s="11" t="s">
        <v>3</v>
      </c>
      <c r="C7" s="12" t="s">
        <v>4</v>
      </c>
      <c r="D7" s="12" t="s">
        <v>5</v>
      </c>
      <c r="E7" s="12" t="s">
        <v>6</v>
      </c>
      <c r="F7" s="400" t="s">
        <v>7</v>
      </c>
      <c r="G7" s="400"/>
      <c r="H7" s="400" t="s">
        <v>8</v>
      </c>
      <c r="I7" s="400"/>
      <c r="J7" s="129" t="s">
        <v>9</v>
      </c>
    </row>
    <row r="8" spans="1:10" s="90" customFormat="1" ht="30" x14ac:dyDescent="0.2">
      <c r="A8" s="2"/>
      <c r="B8" s="402">
        <v>13</v>
      </c>
      <c r="C8" s="404" t="s">
        <v>362</v>
      </c>
      <c r="D8" s="15"/>
      <c r="E8" s="16"/>
      <c r="F8" s="17" t="s">
        <v>11</v>
      </c>
      <c r="G8" s="17" t="s">
        <v>12</v>
      </c>
      <c r="H8" s="17" t="s">
        <v>11</v>
      </c>
      <c r="I8" s="17" t="s">
        <v>13</v>
      </c>
      <c r="J8" s="18" t="s">
        <v>14</v>
      </c>
    </row>
    <row r="9" spans="1:10" s="90" customFormat="1" ht="15.75" x14ac:dyDescent="0.2">
      <c r="A9" s="2"/>
      <c r="B9" s="403"/>
      <c r="C9" s="405"/>
      <c r="D9" s="20"/>
      <c r="E9" s="169" t="s">
        <v>14</v>
      </c>
      <c r="F9" s="21" t="s">
        <v>15</v>
      </c>
      <c r="G9" s="21" t="s">
        <v>15</v>
      </c>
      <c r="H9" s="21" t="s">
        <v>15</v>
      </c>
      <c r="I9" s="21" t="s">
        <v>15</v>
      </c>
      <c r="J9" s="22" t="s">
        <v>15</v>
      </c>
    </row>
    <row r="10" spans="1:10" x14ac:dyDescent="0.2">
      <c r="A10" s="30"/>
      <c r="B10" s="23">
        <f>B8+0.01</f>
        <v>13.01</v>
      </c>
      <c r="C10" s="36" t="s">
        <v>330</v>
      </c>
      <c r="D10" s="25" t="s">
        <v>122</v>
      </c>
      <c r="E10" s="26">
        <v>410</v>
      </c>
      <c r="F10" s="27">
        <v>26444.18</v>
      </c>
      <c r="G10" s="27">
        <f>E10*F10</f>
        <v>10842113.800000001</v>
      </c>
      <c r="H10" s="28"/>
      <c r="I10" s="28">
        <f>E10*H10</f>
        <v>0</v>
      </c>
      <c r="J10" s="29">
        <f>G10+I10</f>
        <v>10842113.800000001</v>
      </c>
    </row>
    <row r="11" spans="1:10" ht="114.75" x14ac:dyDescent="0.2">
      <c r="B11" s="23">
        <f>B10+0.01</f>
        <v>13.02</v>
      </c>
      <c r="C11" s="36" t="s">
        <v>331</v>
      </c>
      <c r="D11" s="25" t="s">
        <v>43</v>
      </c>
      <c r="E11" s="26">
        <v>12</v>
      </c>
      <c r="F11" s="27">
        <v>849915</v>
      </c>
      <c r="G11" s="27">
        <f t="shared" ref="G11:G15" si="0">E11*F11</f>
        <v>10198980</v>
      </c>
      <c r="H11" s="28"/>
      <c r="I11" s="28">
        <f t="shared" ref="I11:I15" si="1">E11*H11</f>
        <v>0</v>
      </c>
      <c r="J11" s="29">
        <f t="shared" ref="J11:J15" si="2">G11+I11</f>
        <v>10198980</v>
      </c>
    </row>
    <row r="12" spans="1:10" x14ac:dyDescent="0.2">
      <c r="B12" s="23">
        <f t="shared" ref="B12:B15" si="3">B11+0.01</f>
        <v>13.03</v>
      </c>
      <c r="C12" s="36" t="s">
        <v>332</v>
      </c>
      <c r="D12" s="25" t="s">
        <v>17</v>
      </c>
      <c r="E12" s="26">
        <v>12</v>
      </c>
      <c r="F12" s="27">
        <v>472175</v>
      </c>
      <c r="G12" s="27">
        <f t="shared" si="0"/>
        <v>5666100</v>
      </c>
      <c r="H12" s="28"/>
      <c r="I12" s="28">
        <f t="shared" si="1"/>
        <v>0</v>
      </c>
      <c r="J12" s="29">
        <f t="shared" si="2"/>
        <v>5666100</v>
      </c>
    </row>
    <row r="13" spans="1:10" x14ac:dyDescent="0.2">
      <c r="B13" s="23">
        <f t="shared" si="3"/>
        <v>13.04</v>
      </c>
      <c r="C13" s="36" t="s">
        <v>333</v>
      </c>
      <c r="D13" s="25" t="s">
        <v>17</v>
      </c>
      <c r="E13" s="26">
        <v>8</v>
      </c>
      <c r="F13" s="32">
        <v>2999598</v>
      </c>
      <c r="G13" s="27">
        <f t="shared" si="0"/>
        <v>23996784</v>
      </c>
      <c r="H13" s="28">
        <v>680994.05200000003</v>
      </c>
      <c r="I13" s="28">
        <f t="shared" si="1"/>
        <v>5447952.4160000002</v>
      </c>
      <c r="J13" s="29">
        <f t="shared" si="2"/>
        <v>29444736.416000001</v>
      </c>
    </row>
    <row r="14" spans="1:10" ht="25.5" x14ac:dyDescent="0.2">
      <c r="B14" s="23">
        <f t="shared" si="3"/>
        <v>13.049999999999999</v>
      </c>
      <c r="C14" s="34" t="s">
        <v>36</v>
      </c>
      <c r="D14" s="25" t="s">
        <v>17</v>
      </c>
      <c r="E14" s="26">
        <v>6</v>
      </c>
      <c r="F14" s="27">
        <v>962106</v>
      </c>
      <c r="G14" s="27">
        <f t="shared" si="0"/>
        <v>5772636</v>
      </c>
      <c r="H14" s="28">
        <v>817672.19688000006</v>
      </c>
      <c r="I14" s="28">
        <f t="shared" si="1"/>
        <v>4906033.1812800001</v>
      </c>
      <c r="J14" s="29">
        <f t="shared" si="2"/>
        <v>10678669.18128</v>
      </c>
    </row>
    <row r="15" spans="1:10" ht="13.5" thickBot="1" x14ac:dyDescent="0.25">
      <c r="B15" s="37">
        <f t="shared" si="3"/>
        <v>13.059999999999999</v>
      </c>
      <c r="C15" s="88" t="s">
        <v>41</v>
      </c>
      <c r="D15" s="38" t="s">
        <v>17</v>
      </c>
      <c r="E15" s="39">
        <v>288</v>
      </c>
      <c r="F15" s="40">
        <v>7441</v>
      </c>
      <c r="G15" s="40">
        <f t="shared" si="0"/>
        <v>2143008</v>
      </c>
      <c r="H15" s="41">
        <v>45514</v>
      </c>
      <c r="I15" s="41">
        <f t="shared" si="1"/>
        <v>13108032</v>
      </c>
      <c r="J15" s="42">
        <f t="shared" si="2"/>
        <v>15251040</v>
      </c>
    </row>
    <row r="16" spans="1:10" ht="13.5" thickBot="1" x14ac:dyDescent="0.25"/>
    <row r="17" spans="6:14" ht="15.75" x14ac:dyDescent="0.2">
      <c r="F17" s="44"/>
      <c r="G17" s="45"/>
      <c r="H17" s="46" t="s">
        <v>45</v>
      </c>
      <c r="I17" s="47"/>
      <c r="J17" s="48">
        <f>SUM(J10:J15)</f>
        <v>82081639.397280008</v>
      </c>
      <c r="L17" s="160"/>
      <c r="M17" s="160"/>
      <c r="N17" s="160"/>
    </row>
    <row r="18" spans="6:14" x14ac:dyDescent="0.2">
      <c r="F18" s="49" t="s">
        <v>46</v>
      </c>
      <c r="G18" s="50"/>
      <c r="H18" s="51"/>
      <c r="I18" s="52">
        <v>0.22</v>
      </c>
      <c r="J18" s="29">
        <f>J17*I18</f>
        <v>18057960.667401601</v>
      </c>
      <c r="L18" s="160"/>
      <c r="M18" s="160"/>
      <c r="N18" s="160"/>
    </row>
    <row r="19" spans="6:14" x14ac:dyDescent="0.2">
      <c r="F19" s="49" t="s">
        <v>47</v>
      </c>
      <c r="G19" s="50"/>
      <c r="H19" s="51"/>
      <c r="I19" s="52">
        <v>0.04</v>
      </c>
      <c r="J19" s="29">
        <f>J17*I19</f>
        <v>3283265.5758912005</v>
      </c>
      <c r="L19" s="160"/>
      <c r="M19" s="160"/>
      <c r="N19" s="160"/>
    </row>
    <row r="20" spans="6:14" x14ac:dyDescent="0.2">
      <c r="F20" s="49" t="s">
        <v>48</v>
      </c>
      <c r="G20" s="50"/>
      <c r="H20" s="51"/>
      <c r="I20" s="52">
        <v>0.04</v>
      </c>
      <c r="J20" s="29">
        <f>J17*I20</f>
        <v>3283265.5758912005</v>
      </c>
      <c r="L20" s="160"/>
      <c r="M20" s="160"/>
      <c r="N20" s="160"/>
    </row>
    <row r="21" spans="6:14" x14ac:dyDescent="0.2">
      <c r="F21" s="49" t="s">
        <v>49</v>
      </c>
      <c r="G21" s="50"/>
      <c r="H21" s="51"/>
      <c r="I21" s="53"/>
      <c r="J21" s="29"/>
      <c r="L21" s="160"/>
      <c r="M21" s="160"/>
      <c r="N21" s="160"/>
    </row>
    <row r="22" spans="6:14" x14ac:dyDescent="0.2">
      <c r="F22" s="49" t="s">
        <v>50</v>
      </c>
      <c r="G22" s="50"/>
      <c r="H22" s="51"/>
      <c r="I22" s="52">
        <v>0.19</v>
      </c>
      <c r="J22" s="29">
        <f>J20*I22</f>
        <v>623820.45941932814</v>
      </c>
      <c r="L22" s="160"/>
      <c r="M22" s="160"/>
      <c r="N22" s="160"/>
    </row>
    <row r="23" spans="6:14" x14ac:dyDescent="0.2">
      <c r="F23" s="54"/>
      <c r="G23" s="50"/>
      <c r="H23" s="51"/>
      <c r="I23" s="55"/>
      <c r="J23" s="29"/>
      <c r="L23" s="160"/>
      <c r="M23" s="160"/>
      <c r="N23" s="160"/>
    </row>
    <row r="24" spans="6:14" ht="16.5" thickBot="1" x14ac:dyDescent="0.25">
      <c r="F24" s="56"/>
      <c r="G24" s="57"/>
      <c r="H24" s="58" t="s">
        <v>51</v>
      </c>
      <c r="I24" s="41"/>
      <c r="J24" s="59">
        <f>SUM(J17:J22)</f>
        <v>107329951.67588332</v>
      </c>
      <c r="L24" s="160"/>
      <c r="M24" s="160"/>
      <c r="N24" s="160"/>
    </row>
    <row r="25" spans="6:14" x14ac:dyDescent="0.2">
      <c r="L25" s="160"/>
      <c r="M25" s="160"/>
    </row>
  </sheetData>
  <mergeCells count="4">
    <mergeCell ref="F7:G7"/>
    <mergeCell ref="H7:I7"/>
    <mergeCell ref="B8:B9"/>
    <mergeCell ref="C8:C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CC61B-51CE-40F8-A4D1-4798DFD95168}">
  <sheetPr>
    <tabColor rgb="FF92D050"/>
  </sheetPr>
  <dimension ref="B1:J39"/>
  <sheetViews>
    <sheetView workbookViewId="0"/>
  </sheetViews>
  <sheetFormatPr baseColWidth="10" defaultColWidth="12.625" defaultRowHeight="12.75" x14ac:dyDescent="0.2"/>
  <cols>
    <col min="1" max="1" width="5.25" style="30" customWidth="1"/>
    <col min="2" max="2" width="6.125" style="64" customWidth="1"/>
    <col min="3" max="3" width="61.625" style="30" customWidth="1"/>
    <col min="4" max="4" width="9.625" style="30" customWidth="1"/>
    <col min="5" max="5" width="9.625" style="62" customWidth="1"/>
    <col min="6" max="7" width="11.625" style="63" customWidth="1"/>
    <col min="8" max="9" width="11.625" style="62" customWidth="1"/>
    <col min="10" max="10" width="11.625" style="30" customWidth="1"/>
    <col min="11" max="16384" width="12.625" style="30"/>
  </cols>
  <sheetData>
    <row r="1" spans="2:10" s="2" customFormat="1" ht="15" x14ac:dyDescent="0.2">
      <c r="B1" s="8"/>
      <c r="E1" s="4"/>
      <c r="F1" s="5"/>
      <c r="G1" s="5"/>
      <c r="H1" s="4"/>
      <c r="I1" s="4"/>
    </row>
    <row r="2" spans="2:10" s="2" customFormat="1" ht="15.75" x14ac:dyDescent="0.25">
      <c r="B2" s="1" t="s">
        <v>0</v>
      </c>
      <c r="D2" s="3"/>
      <c r="E2" s="4"/>
      <c r="F2" s="5"/>
      <c r="G2" s="5"/>
      <c r="H2" s="4"/>
      <c r="I2" s="4"/>
    </row>
    <row r="3" spans="2:10" s="2" customFormat="1" ht="15.75" x14ac:dyDescent="0.25">
      <c r="B3" s="1" t="s">
        <v>1</v>
      </c>
      <c r="C3" s="5"/>
      <c r="D3" s="6" t="s">
        <v>2</v>
      </c>
      <c r="E3" s="4"/>
      <c r="F3" s="5"/>
      <c r="G3" s="5"/>
      <c r="H3" s="7"/>
      <c r="I3" s="4"/>
    </row>
    <row r="4" spans="2:10" s="2" customFormat="1" ht="15.75" x14ac:dyDescent="0.25">
      <c r="B4" s="1" t="s">
        <v>361</v>
      </c>
      <c r="D4" s="3"/>
      <c r="E4" s="4"/>
      <c r="F4" s="5"/>
      <c r="G4" s="5"/>
      <c r="H4" s="4"/>
      <c r="I4" s="4"/>
    </row>
    <row r="5" spans="2:10" s="2" customFormat="1" ht="15.75" thickBot="1" x14ac:dyDescent="0.25">
      <c r="B5" s="8"/>
      <c r="E5" s="4"/>
      <c r="F5" s="5"/>
      <c r="G5" s="5"/>
      <c r="H5" s="4"/>
      <c r="I5" s="4"/>
    </row>
    <row r="6" spans="2:10" s="14" customFormat="1" ht="54.95" customHeight="1" x14ac:dyDescent="0.25">
      <c r="B6" s="11" t="s">
        <v>3</v>
      </c>
      <c r="C6" s="12" t="s">
        <v>4</v>
      </c>
      <c r="D6" s="12" t="s">
        <v>5</v>
      </c>
      <c r="E6" s="12" t="s">
        <v>6</v>
      </c>
      <c r="F6" s="400" t="s">
        <v>7</v>
      </c>
      <c r="G6" s="400"/>
      <c r="H6" s="401" t="s">
        <v>8</v>
      </c>
      <c r="I6" s="401"/>
      <c r="J6" s="129" t="s">
        <v>9</v>
      </c>
    </row>
    <row r="7" spans="2:10" s="19" customFormat="1" ht="27.75" customHeight="1" x14ac:dyDescent="0.2">
      <c r="B7" s="402">
        <v>14</v>
      </c>
      <c r="C7" s="404" t="s">
        <v>368</v>
      </c>
      <c r="D7" s="15"/>
      <c r="E7" s="16"/>
      <c r="F7" s="17" t="s">
        <v>11</v>
      </c>
      <c r="G7" s="17" t="s">
        <v>12</v>
      </c>
      <c r="H7" s="17" t="s">
        <v>11</v>
      </c>
      <c r="I7" s="17" t="s">
        <v>13</v>
      </c>
      <c r="J7" s="18" t="s">
        <v>14</v>
      </c>
    </row>
    <row r="8" spans="2:10" s="19" customFormat="1" ht="27.75" customHeight="1" x14ac:dyDescent="0.2">
      <c r="B8" s="403"/>
      <c r="C8" s="405"/>
      <c r="D8" s="20"/>
      <c r="E8" s="169" t="s">
        <v>14</v>
      </c>
      <c r="F8" s="21" t="s">
        <v>15</v>
      </c>
      <c r="G8" s="21" t="s">
        <v>15</v>
      </c>
      <c r="H8" s="21" t="s">
        <v>15</v>
      </c>
      <c r="I8" s="21" t="s">
        <v>15</v>
      </c>
      <c r="J8" s="22" t="s">
        <v>15</v>
      </c>
    </row>
    <row r="9" spans="2:10" x14ac:dyDescent="0.2">
      <c r="B9" s="130"/>
      <c r="C9" s="131" t="s">
        <v>198</v>
      </c>
      <c r="D9" s="86"/>
      <c r="E9" s="26"/>
      <c r="F9" s="32"/>
      <c r="G9" s="27"/>
      <c r="H9" s="132"/>
      <c r="I9" s="132"/>
      <c r="J9" s="100"/>
    </row>
    <row r="10" spans="2:10" x14ac:dyDescent="0.2">
      <c r="B10" s="23">
        <f>B7+0.01</f>
        <v>14.01</v>
      </c>
      <c r="C10" s="133" t="s">
        <v>199</v>
      </c>
      <c r="D10" s="86" t="s">
        <v>17</v>
      </c>
      <c r="E10" s="26">
        <v>16</v>
      </c>
      <c r="F10" s="32">
        <v>120311790</v>
      </c>
      <c r="G10" s="27">
        <f>E10*F10</f>
        <v>1924988640</v>
      </c>
      <c r="H10" s="28">
        <v>0</v>
      </c>
      <c r="I10" s="28">
        <f>E10*H10</f>
        <v>0</v>
      </c>
      <c r="J10" s="29">
        <f t="shared" ref="J10:J28" si="0">G10+I10</f>
        <v>1924988640</v>
      </c>
    </row>
    <row r="11" spans="2:10" x14ac:dyDescent="0.2">
      <c r="B11" s="130">
        <f t="shared" ref="B11:B28" si="1">B10+0.01</f>
        <v>14.02</v>
      </c>
      <c r="C11" s="133" t="s">
        <v>200</v>
      </c>
      <c r="D11" s="86" t="s">
        <v>17</v>
      </c>
      <c r="E11" s="26">
        <v>0</v>
      </c>
      <c r="F11" s="32">
        <v>0</v>
      </c>
      <c r="G11" s="27">
        <f t="shared" ref="G11:G28" si="2">E11*F11</f>
        <v>0</v>
      </c>
      <c r="H11" s="28">
        <v>0</v>
      </c>
      <c r="I11" s="28">
        <f t="shared" ref="I11:I28" si="3">E11*H11</f>
        <v>0</v>
      </c>
      <c r="J11" s="29">
        <f t="shared" si="0"/>
        <v>0</v>
      </c>
    </row>
    <row r="12" spans="2:10" x14ac:dyDescent="0.2">
      <c r="B12" s="130">
        <f t="shared" si="1"/>
        <v>14.03</v>
      </c>
      <c r="C12" s="133" t="s">
        <v>201</v>
      </c>
      <c r="D12" s="86" t="s">
        <v>17</v>
      </c>
      <c r="E12" s="26">
        <v>16</v>
      </c>
      <c r="F12" s="32">
        <v>39686505</v>
      </c>
      <c r="G12" s="27">
        <f t="shared" si="2"/>
        <v>634984080</v>
      </c>
      <c r="H12" s="28">
        <v>0</v>
      </c>
      <c r="I12" s="28">
        <f t="shared" si="3"/>
        <v>0</v>
      </c>
      <c r="J12" s="29">
        <f t="shared" si="0"/>
        <v>634984080</v>
      </c>
    </row>
    <row r="13" spans="2:10" x14ac:dyDescent="0.2">
      <c r="B13" s="130">
        <f t="shared" si="1"/>
        <v>14.04</v>
      </c>
      <c r="C13" s="133" t="s">
        <v>202</v>
      </c>
      <c r="D13" s="86" t="s">
        <v>17</v>
      </c>
      <c r="E13" s="26">
        <v>0</v>
      </c>
      <c r="F13" s="32">
        <v>12892065</v>
      </c>
      <c r="G13" s="27">
        <f t="shared" si="2"/>
        <v>0</v>
      </c>
      <c r="H13" s="28">
        <v>0</v>
      </c>
      <c r="I13" s="28">
        <f t="shared" si="3"/>
        <v>0</v>
      </c>
      <c r="J13" s="29">
        <f t="shared" si="0"/>
        <v>0</v>
      </c>
    </row>
    <row r="14" spans="2:10" x14ac:dyDescent="0.2">
      <c r="B14" s="130">
        <f t="shared" si="1"/>
        <v>14.049999999999999</v>
      </c>
      <c r="C14" s="133" t="s">
        <v>203</v>
      </c>
      <c r="D14" s="86" t="s">
        <v>17</v>
      </c>
      <c r="E14" s="26">
        <v>0</v>
      </c>
      <c r="F14" s="32">
        <v>4081567.5</v>
      </c>
      <c r="G14" s="27">
        <f t="shared" si="2"/>
        <v>0</v>
      </c>
      <c r="H14" s="28">
        <v>0</v>
      </c>
      <c r="I14" s="28">
        <f t="shared" si="3"/>
        <v>0</v>
      </c>
      <c r="J14" s="29">
        <f t="shared" si="0"/>
        <v>0</v>
      </c>
    </row>
    <row r="15" spans="2:10" x14ac:dyDescent="0.2">
      <c r="B15" s="130">
        <f t="shared" si="1"/>
        <v>14.059999999999999</v>
      </c>
      <c r="C15" s="133" t="s">
        <v>204</v>
      </c>
      <c r="D15" s="86" t="s">
        <v>17</v>
      </c>
      <c r="E15" s="26">
        <v>0</v>
      </c>
      <c r="F15" s="32">
        <v>4081567.5</v>
      </c>
      <c r="G15" s="27">
        <f t="shared" si="2"/>
        <v>0</v>
      </c>
      <c r="H15" s="28">
        <v>0</v>
      </c>
      <c r="I15" s="28">
        <f t="shared" si="3"/>
        <v>0</v>
      </c>
      <c r="J15" s="29">
        <f t="shared" si="0"/>
        <v>0</v>
      </c>
    </row>
    <row r="16" spans="2:10" x14ac:dyDescent="0.2">
      <c r="B16" s="130">
        <f t="shared" si="1"/>
        <v>14.069999999999999</v>
      </c>
      <c r="C16" s="133" t="s">
        <v>205</v>
      </c>
      <c r="D16" s="86" t="s">
        <v>17</v>
      </c>
      <c r="E16" s="26">
        <v>0</v>
      </c>
      <c r="F16" s="32">
        <v>0</v>
      </c>
      <c r="G16" s="27">
        <f t="shared" si="2"/>
        <v>0</v>
      </c>
      <c r="H16" s="28">
        <v>11176793.600000001</v>
      </c>
      <c r="I16" s="28">
        <f t="shared" si="3"/>
        <v>0</v>
      </c>
      <c r="J16" s="29">
        <f t="shared" si="0"/>
        <v>0</v>
      </c>
    </row>
    <row r="17" spans="2:10" ht="19.149999999999999" customHeight="1" x14ac:dyDescent="0.2">
      <c r="B17" s="23">
        <f t="shared" si="1"/>
        <v>14.079999999999998</v>
      </c>
      <c r="C17" s="31" t="s">
        <v>206</v>
      </c>
      <c r="D17" s="86" t="s">
        <v>17</v>
      </c>
      <c r="E17" s="26">
        <v>0</v>
      </c>
      <c r="F17" s="32">
        <v>32391472.5</v>
      </c>
      <c r="G17" s="27">
        <f t="shared" si="2"/>
        <v>0</v>
      </c>
      <c r="H17" s="28">
        <v>0</v>
      </c>
      <c r="I17" s="28">
        <f t="shared" si="3"/>
        <v>0</v>
      </c>
      <c r="J17" s="29">
        <f t="shared" si="0"/>
        <v>0</v>
      </c>
    </row>
    <row r="18" spans="2:10" x14ac:dyDescent="0.2">
      <c r="B18" s="130">
        <f t="shared" si="1"/>
        <v>14.089999999999998</v>
      </c>
      <c r="C18" s="134" t="s">
        <v>207</v>
      </c>
      <c r="D18" s="86" t="s">
        <v>17</v>
      </c>
      <c r="E18" s="26">
        <v>0</v>
      </c>
      <c r="F18" s="32">
        <v>0</v>
      </c>
      <c r="G18" s="27">
        <f t="shared" si="2"/>
        <v>0</v>
      </c>
      <c r="H18" s="28">
        <v>0</v>
      </c>
      <c r="I18" s="28">
        <f t="shared" si="3"/>
        <v>0</v>
      </c>
      <c r="J18" s="29">
        <f t="shared" si="0"/>
        <v>0</v>
      </c>
    </row>
    <row r="19" spans="2:10" x14ac:dyDescent="0.2">
      <c r="B19" s="23">
        <f t="shared" si="1"/>
        <v>14.099999999999998</v>
      </c>
      <c r="C19" s="133" t="s">
        <v>208</v>
      </c>
      <c r="D19" s="86" t="s">
        <v>17</v>
      </c>
      <c r="E19" s="26">
        <v>0</v>
      </c>
      <c r="F19" s="32">
        <v>0</v>
      </c>
      <c r="G19" s="27">
        <f t="shared" si="2"/>
        <v>0</v>
      </c>
      <c r="H19" s="28">
        <v>12932236.800000001</v>
      </c>
      <c r="I19" s="28">
        <f t="shared" si="3"/>
        <v>0</v>
      </c>
      <c r="J19" s="29">
        <f t="shared" si="0"/>
        <v>0</v>
      </c>
    </row>
    <row r="20" spans="2:10" x14ac:dyDescent="0.2">
      <c r="B20" s="130">
        <f t="shared" si="1"/>
        <v>14.109999999999998</v>
      </c>
      <c r="C20" s="133" t="s">
        <v>209</v>
      </c>
      <c r="D20" s="86" t="s">
        <v>17</v>
      </c>
      <c r="E20" s="26">
        <v>0</v>
      </c>
      <c r="F20" s="32">
        <v>21657990</v>
      </c>
      <c r="G20" s="27">
        <f t="shared" si="2"/>
        <v>0</v>
      </c>
      <c r="H20" s="28">
        <v>0</v>
      </c>
      <c r="I20" s="28">
        <f t="shared" si="3"/>
        <v>0</v>
      </c>
      <c r="J20" s="29">
        <f t="shared" si="0"/>
        <v>0</v>
      </c>
    </row>
    <row r="21" spans="2:10" x14ac:dyDescent="0.2">
      <c r="B21" s="130">
        <f t="shared" si="1"/>
        <v>14.119999999999997</v>
      </c>
      <c r="C21" s="133" t="s">
        <v>210</v>
      </c>
      <c r="D21" s="86" t="s">
        <v>17</v>
      </c>
      <c r="E21" s="26">
        <v>0</v>
      </c>
      <c r="F21" s="32">
        <v>35619795</v>
      </c>
      <c r="G21" s="27">
        <f t="shared" si="2"/>
        <v>0</v>
      </c>
      <c r="H21" s="28">
        <v>0</v>
      </c>
      <c r="I21" s="28">
        <f t="shared" si="3"/>
        <v>0</v>
      </c>
      <c r="J21" s="29">
        <f t="shared" si="0"/>
        <v>0</v>
      </c>
    </row>
    <row r="22" spans="2:10" x14ac:dyDescent="0.2">
      <c r="B22" s="130">
        <f t="shared" si="1"/>
        <v>14.129999999999997</v>
      </c>
      <c r="C22" s="133" t="s">
        <v>211</v>
      </c>
      <c r="D22" s="86" t="s">
        <v>17</v>
      </c>
      <c r="E22" s="26">
        <v>0</v>
      </c>
      <c r="F22" s="32">
        <v>0</v>
      </c>
      <c r="G22" s="27">
        <f t="shared" si="2"/>
        <v>0</v>
      </c>
      <c r="H22" s="28">
        <v>11176793.600000001</v>
      </c>
      <c r="I22" s="28">
        <f t="shared" si="3"/>
        <v>0</v>
      </c>
      <c r="J22" s="29">
        <f t="shared" si="0"/>
        <v>0</v>
      </c>
    </row>
    <row r="23" spans="2:10" x14ac:dyDescent="0.2">
      <c r="B23" s="130">
        <f t="shared" si="1"/>
        <v>14.139999999999997</v>
      </c>
      <c r="C23" s="133" t="s">
        <v>212</v>
      </c>
      <c r="D23" s="86" t="s">
        <v>17</v>
      </c>
      <c r="E23" s="26">
        <v>0</v>
      </c>
      <c r="F23" s="32">
        <v>1931475</v>
      </c>
      <c r="G23" s="27">
        <f t="shared" si="2"/>
        <v>0</v>
      </c>
      <c r="H23" s="28">
        <v>0</v>
      </c>
      <c r="I23" s="28">
        <f t="shared" si="3"/>
        <v>0</v>
      </c>
      <c r="J23" s="29">
        <f t="shared" si="0"/>
        <v>0</v>
      </c>
    </row>
    <row r="24" spans="2:10" x14ac:dyDescent="0.2">
      <c r="B24" s="130">
        <f t="shared" si="1"/>
        <v>14.149999999999997</v>
      </c>
      <c r="C24" s="133" t="s">
        <v>213</v>
      </c>
      <c r="D24" s="86" t="s">
        <v>17</v>
      </c>
      <c r="E24" s="26">
        <v>0</v>
      </c>
      <c r="F24" s="32">
        <v>14611290</v>
      </c>
      <c r="G24" s="27">
        <f t="shared" si="2"/>
        <v>0</v>
      </c>
      <c r="H24" s="28">
        <v>0</v>
      </c>
      <c r="I24" s="28">
        <f t="shared" si="3"/>
        <v>0</v>
      </c>
      <c r="J24" s="29">
        <f t="shared" si="0"/>
        <v>0</v>
      </c>
    </row>
    <row r="25" spans="2:10" x14ac:dyDescent="0.2">
      <c r="B25" s="130">
        <f t="shared" si="1"/>
        <v>14.159999999999997</v>
      </c>
      <c r="C25" s="133" t="s">
        <v>214</v>
      </c>
      <c r="D25" s="86" t="s">
        <v>17</v>
      </c>
      <c r="E25" s="26">
        <v>4</v>
      </c>
      <c r="F25" s="32">
        <v>54246855</v>
      </c>
      <c r="G25" s="27">
        <f t="shared" si="2"/>
        <v>216987420</v>
      </c>
      <c r="H25" s="28">
        <v>0</v>
      </c>
      <c r="I25" s="28">
        <f t="shared" si="3"/>
        <v>0</v>
      </c>
      <c r="J25" s="29">
        <f t="shared" si="0"/>
        <v>216987420</v>
      </c>
    </row>
    <row r="26" spans="2:10" x14ac:dyDescent="0.2">
      <c r="B26" s="130">
        <f t="shared" si="1"/>
        <v>14.169999999999996</v>
      </c>
      <c r="C26" s="133" t="s">
        <v>369</v>
      </c>
      <c r="D26" s="86" t="s">
        <v>17</v>
      </c>
      <c r="E26" s="26">
        <v>4</v>
      </c>
      <c r="F26" s="32">
        <v>19500000</v>
      </c>
      <c r="G26" s="27">
        <f t="shared" si="2"/>
        <v>78000000</v>
      </c>
      <c r="H26" s="28">
        <v>0</v>
      </c>
      <c r="I26" s="28">
        <f t="shared" si="3"/>
        <v>0</v>
      </c>
      <c r="J26" s="29">
        <f t="shared" si="0"/>
        <v>78000000</v>
      </c>
    </row>
    <row r="27" spans="2:10" x14ac:dyDescent="0.2">
      <c r="B27" s="23">
        <f t="shared" si="1"/>
        <v>14.179999999999996</v>
      </c>
      <c r="C27" s="133" t="s">
        <v>74</v>
      </c>
      <c r="D27" s="86" t="s">
        <v>17</v>
      </c>
      <c r="E27" s="26">
        <v>2</v>
      </c>
      <c r="F27" s="32">
        <v>20898135</v>
      </c>
      <c r="G27" s="27">
        <f t="shared" si="2"/>
        <v>41796270</v>
      </c>
      <c r="H27" s="28"/>
      <c r="I27" s="28">
        <f t="shared" si="3"/>
        <v>0</v>
      </c>
      <c r="J27" s="29">
        <f t="shared" si="0"/>
        <v>41796270</v>
      </c>
    </row>
    <row r="28" spans="2:10" x14ac:dyDescent="0.2">
      <c r="B28" s="130">
        <f t="shared" si="1"/>
        <v>14.189999999999996</v>
      </c>
      <c r="C28" s="133" t="s">
        <v>216</v>
      </c>
      <c r="D28" s="86" t="s">
        <v>17</v>
      </c>
      <c r="E28" s="26">
        <v>2</v>
      </c>
      <c r="F28" s="32">
        <v>130000000</v>
      </c>
      <c r="G28" s="27">
        <f t="shared" si="2"/>
        <v>260000000</v>
      </c>
      <c r="H28" s="28">
        <v>3981600.0000000005</v>
      </c>
      <c r="I28" s="28">
        <f t="shared" si="3"/>
        <v>7963200.0000000009</v>
      </c>
      <c r="J28" s="29">
        <f t="shared" si="0"/>
        <v>267963200</v>
      </c>
    </row>
    <row r="29" spans="2:10" ht="13.5" thickBot="1" x14ac:dyDescent="0.25">
      <c r="B29" s="37">
        <f>B28+0.01</f>
        <v>14.199999999999996</v>
      </c>
      <c r="C29" s="136" t="s">
        <v>44</v>
      </c>
      <c r="D29" s="137" t="s">
        <v>197</v>
      </c>
      <c r="E29" s="39">
        <v>2</v>
      </c>
      <c r="F29" s="68">
        <v>9000000</v>
      </c>
      <c r="G29" s="40">
        <f t="shared" ref="G29" si="4">E29*F29</f>
        <v>18000000</v>
      </c>
      <c r="H29" s="41"/>
      <c r="I29" s="41">
        <f t="shared" ref="I29" si="5">E29*H29</f>
        <v>0</v>
      </c>
      <c r="J29" s="42">
        <f t="shared" ref="J29" si="6">G29+I29</f>
        <v>18000000</v>
      </c>
    </row>
    <row r="30" spans="2:10" ht="13.5" thickBot="1" x14ac:dyDescent="0.25">
      <c r="B30" s="138"/>
      <c r="C30" s="138"/>
      <c r="D30" s="138"/>
      <c r="E30" s="138"/>
      <c r="F30" s="139"/>
      <c r="G30" s="140"/>
    </row>
    <row r="31" spans="2:10" ht="15.75" x14ac:dyDescent="0.2">
      <c r="B31" s="161"/>
      <c r="C31" s="162"/>
      <c r="D31" s="163"/>
      <c r="E31" s="43"/>
      <c r="F31" s="44"/>
      <c r="G31" s="45"/>
      <c r="H31" s="46" t="s">
        <v>45</v>
      </c>
      <c r="I31" s="47"/>
      <c r="J31" s="48">
        <f>SUM(J9:J29)</f>
        <v>3182719610</v>
      </c>
    </row>
    <row r="32" spans="2:10" x14ac:dyDescent="0.2">
      <c r="B32" s="161"/>
      <c r="C32" s="162"/>
      <c r="D32" s="163"/>
      <c r="E32" s="43"/>
      <c r="F32" s="49" t="s">
        <v>46</v>
      </c>
      <c r="G32" s="50"/>
      <c r="H32" s="51"/>
      <c r="I32" s="52">
        <v>0.22</v>
      </c>
      <c r="J32" s="29">
        <f>J31*I32</f>
        <v>700198314.20000005</v>
      </c>
    </row>
    <row r="33" spans="2:10" x14ac:dyDescent="0.2">
      <c r="B33" s="161"/>
      <c r="C33" s="162"/>
      <c r="D33" s="163"/>
      <c r="E33" s="43"/>
      <c r="F33" s="49" t="s">
        <v>47</v>
      </c>
      <c r="G33" s="50"/>
      <c r="H33" s="51"/>
      <c r="I33" s="52">
        <v>0.04</v>
      </c>
      <c r="J33" s="29">
        <f>J31*I33</f>
        <v>127308784.40000001</v>
      </c>
    </row>
    <row r="34" spans="2:10" x14ac:dyDescent="0.2">
      <c r="B34" s="161"/>
      <c r="C34" s="162"/>
      <c r="D34" s="163"/>
      <c r="E34" s="43"/>
      <c r="F34" s="49" t="s">
        <v>48</v>
      </c>
      <c r="G34" s="50"/>
      <c r="H34" s="51"/>
      <c r="I34" s="52">
        <v>0.04</v>
      </c>
      <c r="J34" s="29">
        <f>J31*I34</f>
        <v>127308784.40000001</v>
      </c>
    </row>
    <row r="35" spans="2:10" x14ac:dyDescent="0.2">
      <c r="B35" s="161"/>
      <c r="C35" s="162"/>
      <c r="D35" s="163"/>
      <c r="E35" s="43"/>
      <c r="F35" s="49" t="s">
        <v>49</v>
      </c>
      <c r="G35" s="50"/>
      <c r="H35" s="51"/>
      <c r="I35" s="53"/>
      <c r="J35" s="29"/>
    </row>
    <row r="36" spans="2:10" x14ac:dyDescent="0.2">
      <c r="B36" s="161"/>
      <c r="C36" s="162"/>
      <c r="D36" s="163"/>
      <c r="E36" s="43"/>
      <c r="F36" s="49" t="s">
        <v>50</v>
      </c>
      <c r="G36" s="50"/>
      <c r="H36" s="51"/>
      <c r="I36" s="52">
        <v>0.19</v>
      </c>
      <c r="J36" s="29">
        <f>J34*I36</f>
        <v>24188669.036000002</v>
      </c>
    </row>
    <row r="37" spans="2:10" x14ac:dyDescent="0.2">
      <c r="B37" s="161"/>
      <c r="C37" s="162"/>
      <c r="D37" s="163"/>
      <c r="E37" s="43"/>
      <c r="F37" s="54"/>
      <c r="G37" s="50"/>
      <c r="H37" s="51"/>
      <c r="I37" s="55"/>
      <c r="J37" s="29"/>
    </row>
    <row r="38" spans="2:10" ht="16.5" thickBot="1" x14ac:dyDescent="0.25">
      <c r="B38" s="161"/>
      <c r="C38" s="162"/>
      <c r="D38" s="163"/>
      <c r="E38" s="43"/>
      <c r="F38" s="56"/>
      <c r="G38" s="57"/>
      <c r="H38" s="58" t="s">
        <v>51</v>
      </c>
      <c r="I38" s="41"/>
      <c r="J38" s="59">
        <f>SUM(J31:J36)</f>
        <v>4161724162.0359998</v>
      </c>
    </row>
    <row r="39" spans="2:10" x14ac:dyDescent="0.2">
      <c r="B39" s="161"/>
      <c r="C39" s="162"/>
      <c r="D39" s="163"/>
      <c r="E39" s="43"/>
      <c r="F39" s="164"/>
      <c r="G39" s="165"/>
    </row>
  </sheetData>
  <mergeCells count="4">
    <mergeCell ref="F6:G6"/>
    <mergeCell ref="H6:I6"/>
    <mergeCell ref="B7:B8"/>
    <mergeCell ref="C7: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RESUMEN PROYECTO</vt:lpstr>
      <vt:lpstr>RESUMEN COMPONENTES</vt:lpstr>
      <vt:lpstr>UBICACIÓN EQUIPOS ITS v3</vt:lpstr>
      <vt:lpstr>UUFF</vt:lpstr>
      <vt:lpstr>Postes SOS</vt:lpstr>
      <vt:lpstr>ESTACIÓN METEOROLOGICA</vt:lpstr>
      <vt:lpstr>PMV</vt:lpstr>
      <vt:lpstr>GALIBO</vt:lpstr>
      <vt:lpstr>ETD</vt:lpstr>
      <vt:lpstr>CCTV</vt:lpstr>
      <vt:lpstr>FO COMUNICACION</vt:lpstr>
      <vt:lpstr>PEAJE</vt:lpstr>
      <vt:lpstr>BásculaS Sur y Norte</vt:lpstr>
      <vt:lpstr>RADIO COMUNICACIONES</vt:lpstr>
      <vt:lpstr>CCO</vt:lpstr>
      <vt:lpstr>Control de accesos en Peaje</vt:lpstr>
      <vt:lpstr>Paso elevado FO</vt:lpstr>
      <vt:lpstr>Basculas Dinamicas en peaje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Augusto Rojas L</dc:creator>
  <cp:lastModifiedBy>EPC_Jose Mauricio Pardo Romero</cp:lastModifiedBy>
  <dcterms:created xsi:type="dcterms:W3CDTF">2025-07-29T20:00:14Z</dcterms:created>
  <dcterms:modified xsi:type="dcterms:W3CDTF">2025-09-23T12:14:00Z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866274340</vt:i4>
  </property>
  <property fmtid="{D5CDD505-2E9C-101B-9397-08002B2CF9AE}" pid="3" name="_NewReviewCycle">
    <vt:lpwstr/>
  </property>
  <property fmtid="{D5CDD505-2E9C-101B-9397-08002B2CF9AE}" pid="4" name="_EmailSubject">
    <vt:lpwstr>Magdalena Medio - presupuesto ajustado</vt:lpwstr>
  </property>
  <property fmtid="{D5CDD505-2E9C-101B-9397-08002B2CF9AE}" pid="5" name="_AuthorEmail">
    <vt:lpwstr>augusto.rojas.l@gmail.com</vt:lpwstr>
  </property>
  <property fmtid="{D5CDD505-2E9C-101B-9397-08002B2CF9AE}" pid="6" name="_AuthorEmailDisplayName">
    <vt:lpwstr>Augusto Rojas</vt:lpwstr>
  </property>
  <property fmtid="{D5CDD505-2E9C-101B-9397-08002B2CF9AE}" pid="7" name="_ReviewingToolsShownOnce">
    <vt:lpwstr/>
  </property>
</Properties>
</file>